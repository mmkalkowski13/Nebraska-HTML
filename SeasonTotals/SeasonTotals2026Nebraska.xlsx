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2dde105277108d/Documents/"/>
    </mc:Choice>
  </mc:AlternateContent>
  <xr:revisionPtr revIDLastSave="4165" documentId="8_{992A4078-EE68-4538-8B02-1EE4F77431AE}" xr6:coauthVersionLast="47" xr6:coauthVersionMax="47" xr10:uidLastSave="{8FE07759-61B2-49BA-85B0-48A0FB5BEC73}"/>
  <bookViews>
    <workbookView xWindow="-108" yWindow="-108" windowWidth="23256" windowHeight="12456" firstSheet="1" activeTab="2" xr2:uid="{5E33CA31-24F7-471C-85E2-A2F2213BBEDE}"/>
  </bookViews>
  <sheets>
    <sheet name="Totals" sheetId="1" r:id="rId1"/>
    <sheet name="Louisville" sheetId="2" r:id="rId2"/>
    <sheet name="SD" sheetId="3" r:id="rId3"/>
    <sheet name="ND" sheetId="4" r:id="rId4"/>
    <sheet name="Alabama" sheetId="5" r:id="rId5"/>
    <sheet name="UNO" sheetId="6" r:id="rId6"/>
    <sheet name="KSU" sheetId="7" r:id="rId7"/>
    <sheet name="Indiana" sheetId="8" r:id="rId8"/>
    <sheet name="Iowa" sheetId="9" r:id="rId9"/>
    <sheet name="Washington" sheetId="10" r:id="rId10"/>
    <sheet name="MSU" sheetId="11" r:id="rId11"/>
    <sheet name="Michigan" sheetId="12" r:id="rId12"/>
    <sheet name="Wisconsin" sheetId="13" r:id="rId13"/>
    <sheet name="Maryland" sheetId="14" r:id="rId14"/>
    <sheet name="Rutgers" sheetId="15" r:id="rId15"/>
    <sheet name="Illinois" sheetId="16" r:id="rId16"/>
    <sheet name="USC" sheetId="17" r:id="rId17"/>
    <sheet name="UCLA" sheetId="18" r:id="rId18"/>
    <sheet name="Purdue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57" i="19" l="1"/>
  <c r="V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C157" i="19"/>
  <c r="B157" i="19"/>
  <c r="A157" i="19"/>
  <c r="W156" i="19"/>
  <c r="V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B156" i="19"/>
  <c r="A156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A155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A154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A153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A152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A151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A150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A149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A148" i="19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C146" i="19"/>
  <c r="B146" i="19"/>
  <c r="A146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B145" i="19"/>
  <c r="A145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A144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A143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A142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A141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A140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A139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A138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A137" i="19"/>
  <c r="W136" i="19"/>
  <c r="V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C136" i="19"/>
  <c r="B136" i="19"/>
  <c r="A136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B135" i="19"/>
  <c r="A135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B134" i="19"/>
  <c r="A134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A131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A130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A129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A128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A127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A126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B125" i="19"/>
  <c r="A125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B124" i="19"/>
  <c r="A124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B123" i="19"/>
  <c r="A123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A122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A121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A120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A119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A118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A117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A116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A115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B114" i="19"/>
  <c r="A114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B113" i="19"/>
  <c r="A113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B112" i="19"/>
  <c r="A112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A111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A110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A109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A108" i="19"/>
  <c r="W157" i="18"/>
  <c r="V157" i="18"/>
  <c r="U157" i="18"/>
  <c r="T157" i="18"/>
  <c r="S157" i="18"/>
  <c r="R157" i="18"/>
  <c r="Q157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B157" i="18"/>
  <c r="A157" i="18"/>
  <c r="W156" i="18"/>
  <c r="V156" i="18"/>
  <c r="U156" i="18"/>
  <c r="T156" i="18"/>
  <c r="S156" i="18"/>
  <c r="R156" i="18"/>
  <c r="Q156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D156" i="18"/>
  <c r="C156" i="18"/>
  <c r="B156" i="18"/>
  <c r="A156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A155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A154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A153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A152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A151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A150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A149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A148" i="18"/>
  <c r="W146" i="18"/>
  <c r="V146" i="18"/>
  <c r="U146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C146" i="18"/>
  <c r="B146" i="18"/>
  <c r="A146" i="18"/>
  <c r="W145" i="18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B145" i="18"/>
  <c r="A145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A144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A143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A142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A141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A140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A138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A137" i="18"/>
  <c r="W136" i="18"/>
  <c r="V136" i="18"/>
  <c r="U136" i="18"/>
  <c r="T136" i="18"/>
  <c r="S136" i="18"/>
  <c r="R136" i="18"/>
  <c r="Q136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A136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W134" i="18"/>
  <c r="V134" i="18"/>
  <c r="U134" i="18"/>
  <c r="T134" i="18"/>
  <c r="S134" i="18"/>
  <c r="R134" i="18"/>
  <c r="Q134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A134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A130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A129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A128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A126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A125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A124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A122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A121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A120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A118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A117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A116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A114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A113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A112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A110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A109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A108" i="18"/>
  <c r="W157" i="17"/>
  <c r="V157" i="17"/>
  <c r="U157" i="17"/>
  <c r="T157" i="17"/>
  <c r="S157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B157" i="17"/>
  <c r="A157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A156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A155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A154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A153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A152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A151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A150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A149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A148" i="17"/>
  <c r="W146" i="17"/>
  <c r="V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B146" i="17"/>
  <c r="A146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B145" i="17"/>
  <c r="A145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A144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A143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A142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A141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A140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A139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A138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A137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A136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B135" i="17"/>
  <c r="A135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B134" i="17"/>
  <c r="A134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A131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A130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A129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A128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A127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A126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B125" i="17"/>
  <c r="A125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B124" i="17"/>
  <c r="A124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B123" i="17"/>
  <c r="A123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A122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A121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A120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A119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A118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A117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A116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A115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A114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B113" i="17"/>
  <c r="A113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B112" i="17"/>
  <c r="A112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A111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A110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A109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A108" i="17"/>
  <c r="W157" i="16"/>
  <c r="V157" i="16"/>
  <c r="U157" i="16"/>
  <c r="T157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A157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A156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A155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A154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A153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A152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A151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A150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A149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A148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A146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A145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A144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A143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A142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A141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A140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A139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A138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A137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A136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A135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A134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A131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A130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A129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A128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A127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A126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A125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A124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A123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A122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A121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A120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A119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A118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A117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A116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A115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A114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A113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A112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A111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A110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A109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A108" i="16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W157" i="14"/>
  <c r="V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H157" i="14"/>
  <c r="G157" i="14"/>
  <c r="F157" i="14"/>
  <c r="E157" i="14"/>
  <c r="D157" i="14"/>
  <c r="C157" i="14"/>
  <c r="B157" i="14"/>
  <c r="A157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C156" i="14"/>
  <c r="B156" i="14"/>
  <c r="A156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A155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A154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A153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A152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A151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A150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A149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A148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G146" i="14"/>
  <c r="F146" i="14"/>
  <c r="E146" i="14"/>
  <c r="D146" i="14"/>
  <c r="C146" i="14"/>
  <c r="B146" i="14"/>
  <c r="A146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C145" i="14"/>
  <c r="B145" i="14"/>
  <c r="A145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A144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A143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A142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A141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A140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A139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A138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A137" i="14"/>
  <c r="W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C136" i="14"/>
  <c r="B136" i="14"/>
  <c r="A136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B135" i="14"/>
  <c r="A135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B134" i="14"/>
  <c r="A134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A131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A130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A129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A128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127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A126" i="14"/>
  <c r="W125" i="14"/>
  <c r="V125" i="14"/>
  <c r="U125" i="14"/>
  <c r="T125" i="14"/>
  <c r="S125" i="14"/>
  <c r="R125" i="14"/>
  <c r="Q125" i="14"/>
  <c r="P125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C125" i="14"/>
  <c r="B125" i="14"/>
  <c r="A125" i="14"/>
  <c r="W124" i="14"/>
  <c r="V124" i="14"/>
  <c r="U124" i="14"/>
  <c r="T124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C124" i="14"/>
  <c r="B124" i="14"/>
  <c r="A124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C123" i="14"/>
  <c r="B123" i="14"/>
  <c r="A123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A122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A121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A120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A119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A118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A117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A116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A115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B114" i="14"/>
  <c r="A114" i="14"/>
  <c r="W113" i="14"/>
  <c r="V113" i="14"/>
  <c r="U113" i="14"/>
  <c r="T113" i="14"/>
  <c r="S113" i="14"/>
  <c r="R113" i="14"/>
  <c r="Q113" i="14"/>
  <c r="P113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C113" i="14"/>
  <c r="B113" i="14"/>
  <c r="A113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B112" i="14"/>
  <c r="A112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A111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A110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A109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A108" i="14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W157" i="12"/>
  <c r="V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B157" i="12"/>
  <c r="A157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B156" i="12"/>
  <c r="A156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A155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A154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A152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A151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A150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A149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A148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B146" i="12"/>
  <c r="A146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A145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A144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A143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A142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A141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A140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A139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A138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A137" i="12"/>
  <c r="W136" i="12"/>
  <c r="V136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B136" i="12"/>
  <c r="A136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B135" i="12"/>
  <c r="A135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B134" i="12"/>
  <c r="A134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A131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A130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A129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A128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127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A126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A125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B124" i="12"/>
  <c r="A124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A123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A122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A121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A120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A119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A118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A117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A116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A115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A114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A113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A112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A111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A110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A109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108" i="12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A157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A156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A155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A154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A152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151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A150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149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148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146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145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A144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143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A142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A141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139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136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134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128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A126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108" i="8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157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156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A155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A154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A153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152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A151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A150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A149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148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146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5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144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A143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A142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1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A140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A139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A138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A137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A136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A135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A134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1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130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B129" i="7"/>
  <c r="A129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128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A127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A126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A125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A123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122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A121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A119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A118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A117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A114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A113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A111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A110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A109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108" i="7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A157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156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A155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A154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153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152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151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150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149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148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146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145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144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143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142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A141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A140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138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136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135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A134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130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129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127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126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125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A123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A121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A120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A118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116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A115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114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111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108" i="6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W157" i="2"/>
  <c r="W156" i="2"/>
  <c r="W155" i="2"/>
  <c r="W154" i="2"/>
  <c r="W153" i="2"/>
  <c r="W152" i="2"/>
  <c r="W151" i="2"/>
  <c r="W150" i="2"/>
  <c r="W149" i="2"/>
  <c r="W148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V157" i="2"/>
  <c r="V156" i="2"/>
  <c r="V155" i="2"/>
  <c r="V154" i="2"/>
  <c r="V153" i="2"/>
  <c r="V152" i="2"/>
  <c r="V151" i="2"/>
  <c r="V150" i="2"/>
  <c r="V149" i="2"/>
  <c r="V148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U157" i="2"/>
  <c r="U156" i="2"/>
  <c r="U155" i="2"/>
  <c r="U154" i="2"/>
  <c r="U153" i="2"/>
  <c r="U152" i="2"/>
  <c r="U151" i="2"/>
  <c r="U150" i="2"/>
  <c r="U149" i="2"/>
  <c r="U148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T157" i="2"/>
  <c r="T156" i="2"/>
  <c r="T155" i="2"/>
  <c r="T154" i="2"/>
  <c r="T153" i="2"/>
  <c r="T152" i="2"/>
  <c r="T151" i="2"/>
  <c r="T150" i="2"/>
  <c r="T149" i="2"/>
  <c r="T148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S157" i="2"/>
  <c r="S156" i="2"/>
  <c r="S155" i="2"/>
  <c r="S154" i="2"/>
  <c r="S153" i="2"/>
  <c r="S152" i="2"/>
  <c r="S151" i="2"/>
  <c r="S150" i="2"/>
  <c r="S149" i="2"/>
  <c r="S148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R157" i="2"/>
  <c r="R156" i="2"/>
  <c r="R155" i="2"/>
  <c r="R154" i="2"/>
  <c r="R153" i="2"/>
  <c r="R152" i="2"/>
  <c r="R151" i="2"/>
  <c r="R150" i="2"/>
  <c r="R149" i="2"/>
  <c r="R148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Q157" i="2"/>
  <c r="Q156" i="2"/>
  <c r="Q155" i="2"/>
  <c r="Q154" i="2"/>
  <c r="Q153" i="2"/>
  <c r="Q152" i="2"/>
  <c r="Q151" i="2"/>
  <c r="Q150" i="2"/>
  <c r="Q149" i="2"/>
  <c r="Q148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P157" i="2"/>
  <c r="P156" i="2"/>
  <c r="P155" i="2"/>
  <c r="P154" i="2"/>
  <c r="P153" i="2"/>
  <c r="P152" i="2"/>
  <c r="P151" i="2"/>
  <c r="P150" i="2"/>
  <c r="P149" i="2"/>
  <c r="P148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O157" i="2"/>
  <c r="O156" i="2"/>
  <c r="O155" i="2"/>
  <c r="O154" i="2"/>
  <c r="O153" i="2"/>
  <c r="O152" i="2"/>
  <c r="O151" i="2"/>
  <c r="O150" i="2"/>
  <c r="O149" i="2"/>
  <c r="O148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N157" i="2"/>
  <c r="N156" i="2"/>
  <c r="N155" i="2"/>
  <c r="N154" i="2"/>
  <c r="N153" i="2"/>
  <c r="N152" i="2"/>
  <c r="N151" i="2"/>
  <c r="N150" i="2"/>
  <c r="N149" i="2"/>
  <c r="N148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M157" i="2"/>
  <c r="M156" i="2"/>
  <c r="M155" i="2"/>
  <c r="M154" i="2"/>
  <c r="M153" i="2"/>
  <c r="M152" i="2"/>
  <c r="M151" i="2"/>
  <c r="M150" i="2"/>
  <c r="M149" i="2"/>
  <c r="M148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L157" i="2"/>
  <c r="L156" i="2"/>
  <c r="L155" i="2"/>
  <c r="L154" i="2"/>
  <c r="L153" i="2"/>
  <c r="L152" i="2"/>
  <c r="L151" i="2"/>
  <c r="L150" i="2"/>
  <c r="L149" i="2"/>
  <c r="L148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K157" i="2"/>
  <c r="K156" i="2"/>
  <c r="K155" i="2"/>
  <c r="K154" i="2"/>
  <c r="K153" i="2"/>
  <c r="K152" i="2"/>
  <c r="K151" i="2"/>
  <c r="K150" i="2"/>
  <c r="K149" i="2"/>
  <c r="K148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J157" i="2"/>
  <c r="J156" i="2"/>
  <c r="J155" i="2"/>
  <c r="J154" i="2"/>
  <c r="J153" i="2"/>
  <c r="J152" i="2"/>
  <c r="J151" i="2"/>
  <c r="J150" i="2"/>
  <c r="J149" i="2"/>
  <c r="J148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I157" i="2"/>
  <c r="I156" i="2"/>
  <c r="I155" i="2"/>
  <c r="I154" i="2"/>
  <c r="I153" i="2"/>
  <c r="I152" i="2"/>
  <c r="I151" i="2"/>
  <c r="I150" i="2"/>
  <c r="I149" i="2"/>
  <c r="I148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H157" i="2"/>
  <c r="H156" i="2"/>
  <c r="H155" i="2"/>
  <c r="H154" i="2"/>
  <c r="H153" i="2"/>
  <c r="H152" i="2"/>
  <c r="H151" i="2"/>
  <c r="H150" i="2"/>
  <c r="H149" i="2"/>
  <c r="H148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G157" i="2"/>
  <c r="G156" i="2"/>
  <c r="G155" i="2"/>
  <c r="G154" i="2"/>
  <c r="G153" i="2"/>
  <c r="G152" i="2"/>
  <c r="G151" i="2"/>
  <c r="G150" i="2"/>
  <c r="G149" i="2"/>
  <c r="G148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F157" i="2"/>
  <c r="F156" i="2"/>
  <c r="F155" i="2"/>
  <c r="F154" i="2"/>
  <c r="F153" i="2"/>
  <c r="F152" i="2"/>
  <c r="F151" i="2"/>
  <c r="F150" i="2"/>
  <c r="F149" i="2"/>
  <c r="F148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E157" i="2"/>
  <c r="E156" i="2"/>
  <c r="E155" i="2"/>
  <c r="E154" i="2"/>
  <c r="E153" i="2"/>
  <c r="E152" i="2"/>
  <c r="E151" i="2"/>
  <c r="E150" i="2"/>
  <c r="E149" i="2"/>
  <c r="E148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D157" i="2"/>
  <c r="D156" i="2"/>
  <c r="D155" i="2"/>
  <c r="D154" i="2"/>
  <c r="D153" i="2"/>
  <c r="D152" i="2"/>
  <c r="D151" i="2"/>
  <c r="D150" i="2"/>
  <c r="D149" i="2"/>
  <c r="D148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C157" i="2"/>
  <c r="C156" i="2"/>
  <c r="C155" i="2"/>
  <c r="C154" i="2"/>
  <c r="C153" i="2"/>
  <c r="C152" i="2"/>
  <c r="C151" i="2"/>
  <c r="C150" i="2"/>
  <c r="C149" i="2"/>
  <c r="C148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B157" i="2"/>
  <c r="B156" i="2"/>
  <c r="B155" i="2"/>
  <c r="B154" i="2"/>
  <c r="B153" i="2"/>
  <c r="B152" i="2"/>
  <c r="B151" i="2"/>
  <c r="B150" i="2"/>
  <c r="B149" i="2"/>
  <c r="B148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A157" i="2"/>
  <c r="A156" i="2"/>
  <c r="A155" i="2"/>
  <c r="A154" i="2"/>
  <c r="A153" i="2"/>
  <c r="A152" i="2"/>
  <c r="A151" i="2"/>
  <c r="A150" i="2"/>
  <c r="A135" i="2"/>
  <c r="A121" i="2"/>
  <c r="A148" i="2"/>
  <c r="A146" i="2"/>
  <c r="A145" i="2"/>
  <c r="A144" i="2"/>
  <c r="A143" i="2"/>
  <c r="A142" i="2"/>
  <c r="A141" i="2"/>
  <c r="A140" i="2"/>
  <c r="A139" i="2"/>
  <c r="A138" i="2"/>
  <c r="A137" i="2"/>
  <c r="A136" i="2"/>
  <c r="A134" i="2"/>
  <c r="A123" i="2"/>
  <c r="W131" i="2"/>
  <c r="W129" i="2"/>
  <c r="W128" i="2"/>
  <c r="W127" i="2"/>
  <c r="W126" i="2"/>
  <c r="W125" i="2"/>
  <c r="W124" i="2"/>
  <c r="W123" i="2"/>
  <c r="W122" i="2"/>
  <c r="W120" i="2"/>
  <c r="W119" i="2"/>
  <c r="W118" i="2"/>
  <c r="W117" i="2"/>
  <c r="W116" i="2"/>
  <c r="W115" i="2"/>
  <c r="W114" i="2"/>
  <c r="W113" i="2"/>
  <c r="W112" i="2"/>
  <c r="W111" i="2"/>
  <c r="W110" i="2"/>
  <c r="V131" i="2"/>
  <c r="V129" i="2"/>
  <c r="V128" i="2"/>
  <c r="V127" i="2"/>
  <c r="V126" i="2"/>
  <c r="V125" i="2"/>
  <c r="V124" i="2"/>
  <c r="V123" i="2"/>
  <c r="V122" i="2"/>
  <c r="V120" i="2"/>
  <c r="V119" i="2"/>
  <c r="V118" i="2"/>
  <c r="V117" i="2"/>
  <c r="V116" i="2"/>
  <c r="V115" i="2"/>
  <c r="V114" i="2"/>
  <c r="V113" i="2"/>
  <c r="V112" i="2"/>
  <c r="V111" i="2"/>
  <c r="V110" i="2"/>
  <c r="U131" i="2"/>
  <c r="U129" i="2"/>
  <c r="U128" i="2"/>
  <c r="U127" i="2"/>
  <c r="U126" i="2"/>
  <c r="U125" i="2"/>
  <c r="U124" i="2"/>
  <c r="U123" i="2"/>
  <c r="U122" i="2"/>
  <c r="U120" i="2"/>
  <c r="U119" i="2"/>
  <c r="U118" i="2"/>
  <c r="U117" i="2"/>
  <c r="U116" i="2"/>
  <c r="U115" i="2"/>
  <c r="U114" i="2"/>
  <c r="U113" i="2"/>
  <c r="U112" i="2"/>
  <c r="U111" i="2"/>
  <c r="U110" i="2"/>
  <c r="T131" i="2"/>
  <c r="T129" i="2"/>
  <c r="T128" i="2"/>
  <c r="T127" i="2"/>
  <c r="T126" i="2"/>
  <c r="T125" i="2"/>
  <c r="T124" i="2"/>
  <c r="T123" i="2"/>
  <c r="T122" i="2"/>
  <c r="T120" i="2"/>
  <c r="T119" i="2"/>
  <c r="T118" i="2"/>
  <c r="T117" i="2"/>
  <c r="T116" i="2"/>
  <c r="T115" i="2"/>
  <c r="T114" i="2"/>
  <c r="T113" i="2"/>
  <c r="T112" i="2"/>
  <c r="T111" i="2"/>
  <c r="T110" i="2"/>
  <c r="S131" i="2"/>
  <c r="S129" i="2"/>
  <c r="S128" i="2"/>
  <c r="S127" i="2"/>
  <c r="S126" i="2"/>
  <c r="S125" i="2"/>
  <c r="S124" i="2"/>
  <c r="S123" i="2"/>
  <c r="S122" i="2"/>
  <c r="S120" i="2"/>
  <c r="S119" i="2"/>
  <c r="S118" i="2"/>
  <c r="S117" i="2"/>
  <c r="S116" i="2"/>
  <c r="S115" i="2"/>
  <c r="S114" i="2"/>
  <c r="S113" i="2"/>
  <c r="S112" i="2"/>
  <c r="S111" i="2"/>
  <c r="S110" i="2"/>
  <c r="R131" i="2"/>
  <c r="R129" i="2"/>
  <c r="R128" i="2"/>
  <c r="R127" i="2"/>
  <c r="R126" i="2"/>
  <c r="R125" i="2"/>
  <c r="R124" i="2"/>
  <c r="R123" i="2"/>
  <c r="R122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Q131" i="2"/>
  <c r="Q129" i="2"/>
  <c r="Q128" i="2"/>
  <c r="Q127" i="2"/>
  <c r="Q126" i="2"/>
  <c r="Q125" i="2"/>
  <c r="Q124" i="2"/>
  <c r="Q123" i="2"/>
  <c r="Q122" i="2"/>
  <c r="Q120" i="2"/>
  <c r="Q119" i="2"/>
  <c r="Q118" i="2"/>
  <c r="Q117" i="2"/>
  <c r="Q116" i="2"/>
  <c r="Q115" i="2"/>
  <c r="Q114" i="2"/>
  <c r="Q113" i="2"/>
  <c r="Q112" i="2"/>
  <c r="Q111" i="2"/>
  <c r="Q110" i="2"/>
  <c r="P131" i="2"/>
  <c r="P129" i="2"/>
  <c r="P128" i="2"/>
  <c r="P127" i="2"/>
  <c r="P126" i="2"/>
  <c r="P125" i="2"/>
  <c r="P124" i="2"/>
  <c r="P123" i="2"/>
  <c r="P122" i="2"/>
  <c r="P120" i="2"/>
  <c r="P119" i="2"/>
  <c r="P118" i="2"/>
  <c r="P117" i="2"/>
  <c r="P116" i="2"/>
  <c r="P115" i="2"/>
  <c r="P114" i="2"/>
  <c r="P113" i="2"/>
  <c r="P112" i="2"/>
  <c r="P111" i="2"/>
  <c r="P110" i="2"/>
  <c r="O131" i="2"/>
  <c r="O129" i="2"/>
  <c r="O128" i="2"/>
  <c r="O127" i="2"/>
  <c r="O126" i="2"/>
  <c r="O125" i="2"/>
  <c r="O124" i="2"/>
  <c r="O123" i="2"/>
  <c r="O122" i="2"/>
  <c r="O120" i="2"/>
  <c r="O119" i="2"/>
  <c r="O118" i="2"/>
  <c r="O117" i="2"/>
  <c r="O116" i="2"/>
  <c r="O115" i="2"/>
  <c r="O114" i="2"/>
  <c r="O113" i="2"/>
  <c r="O112" i="2"/>
  <c r="O111" i="2"/>
  <c r="O110" i="2"/>
  <c r="N131" i="2"/>
  <c r="N129" i="2"/>
  <c r="N128" i="2"/>
  <c r="N127" i="2"/>
  <c r="N126" i="2"/>
  <c r="N125" i="2"/>
  <c r="N124" i="2"/>
  <c r="N123" i="2"/>
  <c r="N122" i="2"/>
  <c r="N120" i="2"/>
  <c r="N119" i="2"/>
  <c r="N118" i="2"/>
  <c r="N117" i="2"/>
  <c r="N116" i="2"/>
  <c r="N115" i="2"/>
  <c r="N114" i="2"/>
  <c r="N113" i="2"/>
  <c r="N112" i="2"/>
  <c r="N111" i="2"/>
  <c r="N110" i="2"/>
  <c r="M131" i="2"/>
  <c r="M129" i="2"/>
  <c r="M128" i="2"/>
  <c r="M127" i="2"/>
  <c r="M126" i="2"/>
  <c r="M125" i="2"/>
  <c r="M124" i="2"/>
  <c r="M123" i="2"/>
  <c r="M122" i="2"/>
  <c r="M120" i="2"/>
  <c r="M119" i="2"/>
  <c r="M118" i="2"/>
  <c r="M117" i="2"/>
  <c r="M116" i="2"/>
  <c r="M115" i="2"/>
  <c r="M114" i="2"/>
  <c r="M113" i="2"/>
  <c r="M112" i="2"/>
  <c r="M111" i="2"/>
  <c r="M110" i="2"/>
  <c r="L131" i="2"/>
  <c r="L129" i="2"/>
  <c r="L128" i="2"/>
  <c r="L127" i="2"/>
  <c r="L126" i="2"/>
  <c r="L125" i="2"/>
  <c r="L124" i="2"/>
  <c r="L123" i="2"/>
  <c r="L122" i="2"/>
  <c r="L120" i="2"/>
  <c r="L119" i="2"/>
  <c r="L118" i="2"/>
  <c r="L117" i="2"/>
  <c r="L116" i="2"/>
  <c r="L115" i="2"/>
  <c r="L114" i="2"/>
  <c r="L113" i="2"/>
  <c r="L112" i="2"/>
  <c r="L111" i="2"/>
  <c r="L110" i="2"/>
  <c r="K131" i="2"/>
  <c r="K129" i="2"/>
  <c r="K128" i="2"/>
  <c r="K127" i="2"/>
  <c r="K126" i="2"/>
  <c r="K125" i="2"/>
  <c r="K124" i="2"/>
  <c r="K123" i="2"/>
  <c r="K122" i="2"/>
  <c r="K120" i="2"/>
  <c r="K119" i="2"/>
  <c r="K118" i="2"/>
  <c r="K117" i="2"/>
  <c r="K116" i="2"/>
  <c r="K115" i="2"/>
  <c r="K114" i="2"/>
  <c r="K113" i="2"/>
  <c r="K112" i="2"/>
  <c r="K111" i="2"/>
  <c r="K110" i="2"/>
  <c r="J131" i="2"/>
  <c r="J129" i="2"/>
  <c r="J128" i="2"/>
  <c r="J127" i="2"/>
  <c r="J126" i="2"/>
  <c r="J125" i="2"/>
  <c r="J124" i="2"/>
  <c r="J123" i="2"/>
  <c r="J122" i="2"/>
  <c r="J120" i="2"/>
  <c r="J119" i="2"/>
  <c r="J118" i="2"/>
  <c r="J117" i="2"/>
  <c r="J116" i="2"/>
  <c r="J115" i="2"/>
  <c r="J114" i="2"/>
  <c r="J113" i="2"/>
  <c r="J112" i="2"/>
  <c r="J111" i="2"/>
  <c r="J110" i="2"/>
  <c r="I131" i="2"/>
  <c r="I129" i="2"/>
  <c r="I128" i="2"/>
  <c r="I127" i="2"/>
  <c r="I126" i="2"/>
  <c r="I125" i="2"/>
  <c r="I124" i="2"/>
  <c r="I123" i="2"/>
  <c r="I122" i="2"/>
  <c r="I120" i="2"/>
  <c r="I119" i="2"/>
  <c r="I118" i="2"/>
  <c r="I117" i="2"/>
  <c r="I116" i="2"/>
  <c r="I115" i="2"/>
  <c r="I114" i="2"/>
  <c r="I113" i="2"/>
  <c r="I112" i="2"/>
  <c r="I111" i="2"/>
  <c r="I110" i="2"/>
  <c r="H131" i="2"/>
  <c r="H129" i="2"/>
  <c r="H128" i="2"/>
  <c r="H127" i="2"/>
  <c r="H126" i="2"/>
  <c r="H125" i="2"/>
  <c r="H124" i="2"/>
  <c r="H123" i="2"/>
  <c r="H122" i="2"/>
  <c r="H120" i="2"/>
  <c r="H119" i="2"/>
  <c r="H118" i="2"/>
  <c r="H117" i="2"/>
  <c r="H116" i="2"/>
  <c r="H115" i="2"/>
  <c r="H114" i="2"/>
  <c r="H113" i="2"/>
  <c r="H112" i="2"/>
  <c r="H111" i="2"/>
  <c r="H110" i="2"/>
  <c r="G131" i="2"/>
  <c r="G129" i="2"/>
  <c r="G128" i="2"/>
  <c r="G127" i="2"/>
  <c r="G126" i="2"/>
  <c r="G125" i="2"/>
  <c r="G124" i="2"/>
  <c r="G123" i="2"/>
  <c r="G122" i="2"/>
  <c r="G120" i="2"/>
  <c r="G119" i="2"/>
  <c r="G118" i="2"/>
  <c r="G117" i="2"/>
  <c r="G116" i="2"/>
  <c r="G115" i="2"/>
  <c r="G114" i="2"/>
  <c r="G113" i="2"/>
  <c r="G112" i="2"/>
  <c r="G111" i="2"/>
  <c r="G110" i="2"/>
  <c r="F131" i="2"/>
  <c r="F129" i="2"/>
  <c r="F128" i="2"/>
  <c r="F127" i="2"/>
  <c r="F126" i="2"/>
  <c r="F125" i="2"/>
  <c r="F124" i="2"/>
  <c r="F123" i="2"/>
  <c r="F122" i="2"/>
  <c r="F120" i="2"/>
  <c r="F119" i="2"/>
  <c r="F118" i="2"/>
  <c r="F117" i="2"/>
  <c r="F116" i="2"/>
  <c r="F115" i="2"/>
  <c r="F114" i="2"/>
  <c r="F113" i="2"/>
  <c r="F112" i="2"/>
  <c r="F111" i="2"/>
  <c r="F110" i="2"/>
  <c r="E131" i="2"/>
  <c r="E129" i="2"/>
  <c r="E128" i="2"/>
  <c r="E127" i="2"/>
  <c r="E126" i="2"/>
  <c r="E125" i="2"/>
  <c r="E124" i="2"/>
  <c r="E123" i="2"/>
  <c r="E122" i="2"/>
  <c r="E120" i="2"/>
  <c r="E119" i="2"/>
  <c r="E118" i="2"/>
  <c r="E117" i="2"/>
  <c r="E116" i="2"/>
  <c r="E115" i="2"/>
  <c r="E114" i="2"/>
  <c r="E113" i="2"/>
  <c r="E112" i="2"/>
  <c r="E111" i="2"/>
  <c r="E110" i="2"/>
  <c r="D131" i="2"/>
  <c r="D129" i="2"/>
  <c r="D128" i="2"/>
  <c r="D127" i="2"/>
  <c r="D126" i="2"/>
  <c r="D125" i="2"/>
  <c r="D124" i="2"/>
  <c r="D123" i="2"/>
  <c r="D122" i="2"/>
  <c r="D120" i="2"/>
  <c r="D119" i="2"/>
  <c r="D118" i="2"/>
  <c r="D117" i="2"/>
  <c r="D116" i="2"/>
  <c r="D115" i="2"/>
  <c r="D114" i="2"/>
  <c r="D113" i="2"/>
  <c r="D112" i="2"/>
  <c r="D111" i="2"/>
  <c r="D110" i="2"/>
  <c r="C131" i="2"/>
  <c r="C129" i="2"/>
  <c r="C128" i="2"/>
  <c r="C127" i="2"/>
  <c r="C126" i="2"/>
  <c r="C125" i="2"/>
  <c r="C124" i="2"/>
  <c r="C123" i="2"/>
  <c r="C122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A109" i="2"/>
  <c r="B110" i="2"/>
  <c r="B111" i="2"/>
  <c r="B112" i="2"/>
  <c r="B113" i="2"/>
  <c r="B114" i="2"/>
  <c r="B115" i="2"/>
  <c r="B116" i="2"/>
  <c r="B117" i="2"/>
  <c r="B118" i="2"/>
  <c r="B119" i="2"/>
  <c r="B120" i="2"/>
  <c r="B122" i="2"/>
  <c r="B123" i="2"/>
  <c r="B124" i="2"/>
  <c r="B125" i="2"/>
  <c r="B126" i="2"/>
  <c r="B127" i="2"/>
  <c r="B128" i="2"/>
  <c r="B129" i="2"/>
  <c r="B131" i="2"/>
  <c r="B109" i="2"/>
  <c r="W109" i="2"/>
  <c r="V109" i="2"/>
  <c r="U109" i="2"/>
  <c r="T109" i="2"/>
  <c r="S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A131" i="2"/>
  <c r="A129" i="2"/>
  <c r="A128" i="2"/>
  <c r="A127" i="2"/>
  <c r="A126" i="2"/>
  <c r="A125" i="2"/>
  <c r="A124" i="2"/>
  <c r="A122" i="2"/>
  <c r="A120" i="2"/>
  <c r="A119" i="2"/>
  <c r="A118" i="2"/>
  <c r="A117" i="2"/>
  <c r="A116" i="2"/>
  <c r="A115" i="2"/>
  <c r="A114" i="2"/>
  <c r="A113" i="2"/>
  <c r="A112" i="2"/>
  <c r="A111" i="2"/>
  <c r="A110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A108" i="2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105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A104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103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102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B101" i="19"/>
  <c r="A101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A100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A99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A98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A97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A96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B92" i="19"/>
  <c r="A92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B91" i="19"/>
  <c r="A91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B90" i="19"/>
  <c r="A90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A89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A88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87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86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A85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84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A83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82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B81" i="19"/>
  <c r="A81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78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77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76" i="19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A105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A104" i="18"/>
  <c r="W103" i="18"/>
  <c r="V103" i="18"/>
  <c r="U103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W102" i="18"/>
  <c r="V102" i="18"/>
  <c r="U102" i="18"/>
  <c r="T102" i="18"/>
  <c r="S102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A102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A101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A100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A98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A97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A96" i="18"/>
  <c r="W92" i="18"/>
  <c r="V92" i="18"/>
  <c r="U92" i="18"/>
  <c r="T92" i="18"/>
  <c r="S92" i="18"/>
  <c r="R92" i="18"/>
  <c r="Q92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A92" i="18"/>
  <c r="W91" i="18"/>
  <c r="V91" i="18"/>
  <c r="U91" i="18"/>
  <c r="T91" i="18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A90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89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A88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A86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A85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84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A82" i="18"/>
  <c r="W81" i="18"/>
  <c r="V81" i="18"/>
  <c r="U81" i="18"/>
  <c r="T81" i="18"/>
  <c r="S81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B81" i="18"/>
  <c r="A81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78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77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A76" i="18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105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A104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B103" i="17"/>
  <c r="A103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A102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A101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A100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A99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A98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A97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A96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A105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A104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A103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A102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A101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A100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A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A98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A97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A96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A92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A91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A90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A89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A88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A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A85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A84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A83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A82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A81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78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77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A76" i="16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A105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A104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B103" i="14"/>
  <c r="A103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B102" i="14"/>
  <c r="A102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B101" i="14"/>
  <c r="A101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A100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A99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A98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A97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A96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A105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104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A103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A102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A101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A100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A99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A98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A97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A96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A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A91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A90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A89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A88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87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A86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85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84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83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A81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78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77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76" i="12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78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105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104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103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102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101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100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99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98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97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96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92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91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90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89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87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86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85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84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83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82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81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78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A99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A98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96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92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89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88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87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83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A24" i="12"/>
  <c r="Y24" i="12"/>
  <c r="AT24" i="12" s="1"/>
  <c r="A53" i="12" s="1"/>
  <c r="O24" i="12"/>
  <c r="AC24" i="12" s="1"/>
  <c r="A29" i="12" s="1"/>
  <c r="AT14" i="12"/>
  <c r="A61" i="12" s="1"/>
  <c r="AA14" i="12"/>
  <c r="Y14" i="12"/>
  <c r="O14" i="12"/>
  <c r="AC14" i="12" s="1"/>
  <c r="A37" i="12" s="1"/>
  <c r="AA4" i="12"/>
  <c r="Y4" i="12"/>
  <c r="O4" i="12"/>
  <c r="AT24" i="19"/>
  <c r="AC24" i="19"/>
  <c r="AT23" i="19"/>
  <c r="AC23" i="19"/>
  <c r="AT22" i="19"/>
  <c r="AC22" i="19"/>
  <c r="AT21" i="19"/>
  <c r="AC21" i="19"/>
  <c r="A38" i="19" s="1"/>
  <c r="AT20" i="19"/>
  <c r="AC20" i="19"/>
  <c r="AT19" i="19"/>
  <c r="A68" i="19" s="1"/>
  <c r="AC19" i="19"/>
  <c r="AT18" i="19"/>
  <c r="A70" i="19" s="1"/>
  <c r="AC18" i="19"/>
  <c r="A46" i="19" s="1"/>
  <c r="AT17" i="19"/>
  <c r="AC17" i="19"/>
  <c r="A45" i="19" s="1"/>
  <c r="AT16" i="19"/>
  <c r="AC16" i="19"/>
  <c r="AT15" i="19"/>
  <c r="AC15" i="19"/>
  <c r="AT14" i="19"/>
  <c r="AC14" i="19"/>
  <c r="AT13" i="19"/>
  <c r="AC13" i="19"/>
  <c r="AT12" i="19"/>
  <c r="AC12" i="19"/>
  <c r="AT11" i="19"/>
  <c r="A63" i="19" s="1"/>
  <c r="AC11" i="19"/>
  <c r="A39" i="19" s="1"/>
  <c r="AT10" i="19"/>
  <c r="A66" i="19" s="1"/>
  <c r="AC10" i="19"/>
  <c r="A42" i="19" s="1"/>
  <c r="AT9" i="19"/>
  <c r="A52" i="19" s="1"/>
  <c r="AC9" i="19"/>
  <c r="A28" i="19" s="1"/>
  <c r="AT8" i="19"/>
  <c r="AC8" i="19"/>
  <c r="AT7" i="19"/>
  <c r="AC7" i="19"/>
  <c r="A33" i="19" s="1"/>
  <c r="AT6" i="19"/>
  <c r="AC6" i="19"/>
  <c r="AT5" i="19"/>
  <c r="AC5" i="19"/>
  <c r="AT4" i="19"/>
  <c r="A50" i="19" s="1"/>
  <c r="AC4" i="19"/>
  <c r="AT3" i="19"/>
  <c r="A56" i="19" s="1"/>
  <c r="AC3" i="19"/>
  <c r="A32" i="19" s="1"/>
  <c r="AT2" i="19"/>
  <c r="A67" i="19" s="1"/>
  <c r="AC2" i="19"/>
  <c r="A43" i="19" s="1"/>
  <c r="AT24" i="18"/>
  <c r="AC24" i="18"/>
  <c r="AT23" i="18"/>
  <c r="AC23" i="18"/>
  <c r="AT22" i="18"/>
  <c r="AC22" i="18"/>
  <c r="AT21" i="18"/>
  <c r="AC21" i="18"/>
  <c r="AT20" i="18"/>
  <c r="AC20" i="18"/>
  <c r="AT19" i="18"/>
  <c r="A68" i="18" s="1"/>
  <c r="AC19" i="18"/>
  <c r="AT18" i="18"/>
  <c r="A70" i="18" s="1"/>
  <c r="AC18" i="18"/>
  <c r="A46" i="18" s="1"/>
  <c r="AT17" i="18"/>
  <c r="A69" i="18" s="1"/>
  <c r="AC17" i="18"/>
  <c r="A45" i="18" s="1"/>
  <c r="AT16" i="18"/>
  <c r="AC16" i="18"/>
  <c r="AT15" i="18"/>
  <c r="AC15" i="18"/>
  <c r="AT14" i="18"/>
  <c r="AC14" i="18"/>
  <c r="AT13" i="18"/>
  <c r="AC13" i="18"/>
  <c r="A40" i="18" s="1"/>
  <c r="AT12" i="18"/>
  <c r="A54" i="18" s="1"/>
  <c r="AC12" i="18"/>
  <c r="AT11" i="18"/>
  <c r="AC11" i="18"/>
  <c r="A39" i="18" s="1"/>
  <c r="AT10" i="18"/>
  <c r="A66" i="18" s="1"/>
  <c r="AC10" i="18"/>
  <c r="A42" i="18" s="1"/>
  <c r="AT9" i="18"/>
  <c r="A52" i="18" s="1"/>
  <c r="AC9" i="18"/>
  <c r="A28" i="18" s="1"/>
  <c r="AT8" i="18"/>
  <c r="AC8" i="18"/>
  <c r="AT7" i="18"/>
  <c r="AC7" i="18"/>
  <c r="AT6" i="18"/>
  <c r="AC6" i="18"/>
  <c r="AT5" i="18"/>
  <c r="AC5" i="18"/>
  <c r="A41" i="18" s="1"/>
  <c r="AT4" i="18"/>
  <c r="A50" i="18" s="1"/>
  <c r="AC4" i="18"/>
  <c r="AT3" i="18"/>
  <c r="A56" i="18" s="1"/>
  <c r="AC3" i="18"/>
  <c r="AT2" i="18"/>
  <c r="A67" i="18" s="1"/>
  <c r="AC2" i="18"/>
  <c r="A43" i="18" s="1"/>
  <c r="AT24" i="17"/>
  <c r="AC24" i="17"/>
  <c r="AT23" i="17"/>
  <c r="AC23" i="17"/>
  <c r="AT22" i="17"/>
  <c r="AC22" i="17"/>
  <c r="A31" i="17" s="1"/>
  <c r="AT21" i="17"/>
  <c r="AC21" i="17"/>
  <c r="AT20" i="17"/>
  <c r="AC20" i="17"/>
  <c r="AT19" i="17"/>
  <c r="AC19" i="17"/>
  <c r="A44" i="17" s="1"/>
  <c r="AT18" i="17"/>
  <c r="A70" i="17" s="1"/>
  <c r="AC18" i="17"/>
  <c r="A46" i="17" s="1"/>
  <c r="AT17" i="17"/>
  <c r="AC17" i="17"/>
  <c r="A45" i="17" s="1"/>
  <c r="AT16" i="17"/>
  <c r="AC16" i="17"/>
  <c r="AT15" i="17"/>
  <c r="AC15" i="17"/>
  <c r="AT14" i="17"/>
  <c r="AC14" i="17"/>
  <c r="A37" i="17" s="1"/>
  <c r="AT13" i="17"/>
  <c r="AC13" i="17"/>
  <c r="AT12" i="17"/>
  <c r="AC12" i="17"/>
  <c r="AT11" i="17"/>
  <c r="AC11" i="17"/>
  <c r="A39" i="17" s="1"/>
  <c r="AT10" i="17"/>
  <c r="A66" i="17" s="1"/>
  <c r="AC10" i="17"/>
  <c r="A42" i="17" s="1"/>
  <c r="AT9" i="17"/>
  <c r="AC9" i="17"/>
  <c r="A28" i="17" s="1"/>
  <c r="AT8" i="17"/>
  <c r="AC8" i="17"/>
  <c r="AT7" i="17"/>
  <c r="AC7" i="17"/>
  <c r="AT6" i="17"/>
  <c r="AC6" i="17"/>
  <c r="A48" i="17" s="1"/>
  <c r="AT5" i="17"/>
  <c r="AC5" i="17"/>
  <c r="AT4" i="17"/>
  <c r="AC4" i="17"/>
  <c r="AT3" i="17"/>
  <c r="AC3" i="17"/>
  <c r="A32" i="17" s="1"/>
  <c r="AT2" i="17"/>
  <c r="A67" i="17" s="1"/>
  <c r="AC2" i="17"/>
  <c r="A43" i="17" s="1"/>
  <c r="AT24" i="16"/>
  <c r="AC24" i="16"/>
  <c r="AT23" i="16"/>
  <c r="AC23" i="16"/>
  <c r="AT22" i="16"/>
  <c r="AC22" i="16"/>
  <c r="AT21" i="16"/>
  <c r="AC21" i="16"/>
  <c r="AT20" i="16"/>
  <c r="AC20" i="16"/>
  <c r="AT19" i="16"/>
  <c r="AC19" i="16"/>
  <c r="AT18" i="16"/>
  <c r="A70" i="16" s="1"/>
  <c r="AC18" i="16"/>
  <c r="A46" i="16" s="1"/>
  <c r="AT17" i="16"/>
  <c r="A69" i="16" s="1"/>
  <c r="AC17" i="16"/>
  <c r="A45" i="16" s="1"/>
  <c r="AT16" i="16"/>
  <c r="AC16" i="16"/>
  <c r="AT15" i="16"/>
  <c r="AC15" i="16"/>
  <c r="AT14" i="16"/>
  <c r="AC14" i="16"/>
  <c r="AT13" i="16"/>
  <c r="AC13" i="16"/>
  <c r="AT12" i="16"/>
  <c r="AC12" i="16"/>
  <c r="AT11" i="16"/>
  <c r="AC11" i="16"/>
  <c r="AT10" i="16"/>
  <c r="A66" i="16" s="1"/>
  <c r="AC10" i="16"/>
  <c r="A42" i="16" s="1"/>
  <c r="AT9" i="16"/>
  <c r="A52" i="16" s="1"/>
  <c r="AC9" i="16"/>
  <c r="A28" i="16" s="1"/>
  <c r="AT8" i="16"/>
  <c r="AC8" i="16"/>
  <c r="AT7" i="16"/>
  <c r="AC7" i="16"/>
  <c r="AT6" i="16"/>
  <c r="AC6" i="16"/>
  <c r="AT5" i="16"/>
  <c r="AC5" i="16"/>
  <c r="AT4" i="16"/>
  <c r="AC4" i="16"/>
  <c r="AT3" i="16"/>
  <c r="AC3" i="16"/>
  <c r="A32" i="16" s="1"/>
  <c r="AT2" i="16"/>
  <c r="A67" i="16" s="1"/>
  <c r="AC2" i="16"/>
  <c r="A43" i="16" s="1"/>
  <c r="AT24" i="15"/>
  <c r="AC24" i="15"/>
  <c r="AT23" i="15"/>
  <c r="AC23" i="15"/>
  <c r="AT22" i="15"/>
  <c r="AC22" i="15"/>
  <c r="AT21" i="15"/>
  <c r="AC21" i="15"/>
  <c r="AT20" i="15"/>
  <c r="AC20" i="15"/>
  <c r="AT19" i="15"/>
  <c r="AC19" i="15"/>
  <c r="AT18" i="15"/>
  <c r="AC18" i="15"/>
  <c r="A46" i="15" s="1"/>
  <c r="AT17" i="15"/>
  <c r="AC17" i="15"/>
  <c r="A45" i="15" s="1"/>
  <c r="AT16" i="15"/>
  <c r="AC16" i="15"/>
  <c r="AT15" i="15"/>
  <c r="AC15" i="15"/>
  <c r="AT14" i="15"/>
  <c r="AC14" i="15"/>
  <c r="AT13" i="15"/>
  <c r="AC13" i="15"/>
  <c r="AT12" i="15"/>
  <c r="AC12" i="15"/>
  <c r="AT11" i="15"/>
  <c r="AC11" i="15"/>
  <c r="A39" i="15" s="1"/>
  <c r="AT10" i="15"/>
  <c r="A66" i="15" s="1"/>
  <c r="AC10" i="15"/>
  <c r="A42" i="15" s="1"/>
  <c r="AT9" i="15"/>
  <c r="AC9" i="15"/>
  <c r="A28" i="15" s="1"/>
  <c r="AT8" i="15"/>
  <c r="AC8" i="15"/>
  <c r="A34" i="15" s="1"/>
  <c r="AT7" i="15"/>
  <c r="AC7" i="15"/>
  <c r="A33" i="15" s="1"/>
  <c r="AT6" i="15"/>
  <c r="A72" i="15" s="1"/>
  <c r="AC6" i="15"/>
  <c r="AT5" i="15"/>
  <c r="AC5" i="15"/>
  <c r="AT4" i="15"/>
  <c r="AC4" i="15"/>
  <c r="AT3" i="15"/>
  <c r="A56" i="15" s="1"/>
  <c r="AC3" i="15"/>
  <c r="A32" i="15" s="1"/>
  <c r="AT2" i="15"/>
  <c r="A67" i="15" s="1"/>
  <c r="AC2" i="15"/>
  <c r="A43" i="15" s="1"/>
  <c r="AT24" i="14"/>
  <c r="AC24" i="14"/>
  <c r="AT23" i="14"/>
  <c r="AC23" i="14"/>
  <c r="AT22" i="14"/>
  <c r="AC22" i="14"/>
  <c r="AT21" i="14"/>
  <c r="AC21" i="14"/>
  <c r="AT20" i="14"/>
  <c r="AC20" i="14"/>
  <c r="AT19" i="14"/>
  <c r="AC19" i="14"/>
  <c r="AT18" i="14"/>
  <c r="AC18" i="14"/>
  <c r="A46" i="14" s="1"/>
  <c r="AT17" i="14"/>
  <c r="A69" i="14" s="1"/>
  <c r="AC17" i="14"/>
  <c r="A45" i="14" s="1"/>
  <c r="AT16" i="14"/>
  <c r="AC16" i="14"/>
  <c r="AT15" i="14"/>
  <c r="AC15" i="14"/>
  <c r="AT14" i="14"/>
  <c r="AC14" i="14"/>
  <c r="AT13" i="14"/>
  <c r="AC13" i="14"/>
  <c r="AT12" i="14"/>
  <c r="AC12" i="14"/>
  <c r="AT11" i="14"/>
  <c r="AC11" i="14"/>
  <c r="AT10" i="14"/>
  <c r="A66" i="14" s="1"/>
  <c r="AC10" i="14"/>
  <c r="A42" i="14" s="1"/>
  <c r="AT9" i="14"/>
  <c r="A52" i="14" s="1"/>
  <c r="AC9" i="14"/>
  <c r="A28" i="14" s="1"/>
  <c r="AT8" i="14"/>
  <c r="AC8" i="14"/>
  <c r="A34" i="14" s="1"/>
  <c r="AT7" i="14"/>
  <c r="AC7" i="14"/>
  <c r="AT6" i="14"/>
  <c r="AC6" i="14"/>
  <c r="AT5" i="14"/>
  <c r="AC5" i="14"/>
  <c r="AT4" i="14"/>
  <c r="A50" i="14" s="1"/>
  <c r="AC4" i="14"/>
  <c r="AT3" i="14"/>
  <c r="A56" i="14" s="1"/>
  <c r="AC3" i="14"/>
  <c r="AT2" i="14"/>
  <c r="A67" i="14" s="1"/>
  <c r="AC2" i="14"/>
  <c r="A43" i="14" s="1"/>
  <c r="AT24" i="13"/>
  <c r="AC24" i="13"/>
  <c r="AT23" i="13"/>
  <c r="AC23" i="13"/>
  <c r="AT22" i="13"/>
  <c r="AC22" i="13"/>
  <c r="AT21" i="13"/>
  <c r="AC21" i="13"/>
  <c r="AT20" i="13"/>
  <c r="AC20" i="13"/>
  <c r="AT19" i="13"/>
  <c r="AC19" i="13"/>
  <c r="AT18" i="13"/>
  <c r="AC18" i="13"/>
  <c r="A46" i="13" s="1"/>
  <c r="AT17" i="13"/>
  <c r="AC17" i="13"/>
  <c r="A45" i="13" s="1"/>
  <c r="AT16" i="13"/>
  <c r="AC16" i="13"/>
  <c r="AT15" i="13"/>
  <c r="AC15" i="13"/>
  <c r="AT14" i="13"/>
  <c r="AC14" i="13"/>
  <c r="AT13" i="13"/>
  <c r="AC13" i="13"/>
  <c r="AT12" i="13"/>
  <c r="AC12" i="13"/>
  <c r="AT11" i="13"/>
  <c r="AC11" i="13"/>
  <c r="A39" i="13" s="1"/>
  <c r="AT10" i="13"/>
  <c r="A66" i="13" s="1"/>
  <c r="AC10" i="13"/>
  <c r="AT9" i="13"/>
  <c r="A52" i="13" s="1"/>
  <c r="AC9" i="13"/>
  <c r="AT8" i="13"/>
  <c r="AC8" i="13"/>
  <c r="A34" i="13" s="1"/>
  <c r="AT7" i="13"/>
  <c r="AC7" i="13"/>
  <c r="A33" i="13" s="1"/>
  <c r="AT6" i="13"/>
  <c r="AC6" i="13"/>
  <c r="AT5" i="13"/>
  <c r="AC5" i="13"/>
  <c r="A41" i="13" s="1"/>
  <c r="AT4" i="13"/>
  <c r="AC4" i="13"/>
  <c r="AT3" i="13"/>
  <c r="A56" i="13" s="1"/>
  <c r="AC3" i="13"/>
  <c r="A32" i="13" s="1"/>
  <c r="AT2" i="13"/>
  <c r="AC2" i="13"/>
  <c r="A43" i="13" s="1"/>
  <c r="AT24" i="11"/>
  <c r="AC24" i="11"/>
  <c r="AT22" i="11"/>
  <c r="AC22" i="11"/>
  <c r="AT21" i="11"/>
  <c r="AC21" i="11"/>
  <c r="AT19" i="11"/>
  <c r="AC19" i="11"/>
  <c r="A44" i="11" s="1"/>
  <c r="AT17" i="11"/>
  <c r="A69" i="11" s="1"/>
  <c r="AC17" i="11"/>
  <c r="A45" i="11" s="1"/>
  <c r="AT16" i="11"/>
  <c r="AC16" i="11"/>
  <c r="AT15" i="11"/>
  <c r="AC15" i="11"/>
  <c r="AT14" i="11"/>
  <c r="AT12" i="11"/>
  <c r="AC12" i="11"/>
  <c r="AT11" i="11"/>
  <c r="A63" i="11" s="1"/>
  <c r="AC11" i="11"/>
  <c r="A39" i="11" s="1"/>
  <c r="AT10" i="11"/>
  <c r="A66" i="11" s="1"/>
  <c r="AC10" i="11"/>
  <c r="A42" i="11" s="1"/>
  <c r="AT9" i="11"/>
  <c r="A52" i="11" s="1"/>
  <c r="AC9" i="11"/>
  <c r="A28" i="11" s="1"/>
  <c r="AT7" i="11"/>
  <c r="AC7" i="11"/>
  <c r="AT5" i="11"/>
  <c r="AC5" i="11"/>
  <c r="AT4" i="11"/>
  <c r="AC4" i="11"/>
  <c r="A26" i="11" s="1"/>
  <c r="AT3" i="11"/>
  <c r="A56" i="11" s="1"/>
  <c r="AT24" i="10"/>
  <c r="AC24" i="10"/>
  <c r="A29" i="10" s="1"/>
  <c r="AT22" i="10"/>
  <c r="AC22" i="10"/>
  <c r="AT21" i="10"/>
  <c r="AC21" i="10"/>
  <c r="AT19" i="10"/>
  <c r="A68" i="10" s="1"/>
  <c r="AC19" i="10"/>
  <c r="A44" i="10" s="1"/>
  <c r="AT17" i="10"/>
  <c r="A69" i="10" s="1"/>
  <c r="AC17" i="10"/>
  <c r="A45" i="10" s="1"/>
  <c r="AT16" i="10"/>
  <c r="A71" i="10" s="1"/>
  <c r="AC16" i="10"/>
  <c r="A47" i="10" s="1"/>
  <c r="AT15" i="10"/>
  <c r="AC15" i="10"/>
  <c r="AT14" i="10"/>
  <c r="AC14" i="10"/>
  <c r="A37" i="10" s="1"/>
  <c r="AT12" i="10"/>
  <c r="AC12" i="10"/>
  <c r="AC11" i="10"/>
  <c r="A39" i="10" s="1"/>
  <c r="AT10" i="10"/>
  <c r="A66" i="10" s="1"/>
  <c r="AT9" i="10"/>
  <c r="A52" i="10" s="1"/>
  <c r="AC9" i="10"/>
  <c r="A28" i="10" s="1"/>
  <c r="AT7" i="10"/>
  <c r="AC7" i="10"/>
  <c r="A33" i="10" s="1"/>
  <c r="AT6" i="10"/>
  <c r="A72" i="10" s="1"/>
  <c r="AT5" i="10"/>
  <c r="AC5" i="10"/>
  <c r="AT4" i="10"/>
  <c r="A50" i="10" s="1"/>
  <c r="AC4" i="10"/>
  <c r="AT3" i="10"/>
  <c r="A56" i="10" s="1"/>
  <c r="AC3" i="10"/>
  <c r="A32" i="10" s="1"/>
  <c r="AT24" i="9"/>
  <c r="AC24" i="9"/>
  <c r="A29" i="9" s="1"/>
  <c r="AT22" i="9"/>
  <c r="AC22" i="9"/>
  <c r="AT21" i="9"/>
  <c r="AC21" i="9"/>
  <c r="AT19" i="9"/>
  <c r="AC19" i="9"/>
  <c r="A44" i="9" s="1"/>
  <c r="AT17" i="9"/>
  <c r="A69" i="9" s="1"/>
  <c r="AC17" i="9"/>
  <c r="A45" i="9" s="1"/>
  <c r="AT16" i="9"/>
  <c r="A71" i="9" s="1"/>
  <c r="AC16" i="9"/>
  <c r="A47" i="9" s="1"/>
  <c r="AT15" i="9"/>
  <c r="AC15" i="9"/>
  <c r="A27" i="9" s="1"/>
  <c r="AT14" i="9"/>
  <c r="AT12" i="9"/>
  <c r="AC12" i="9"/>
  <c r="AT10" i="9"/>
  <c r="A66" i="9" s="1"/>
  <c r="AC10" i="9"/>
  <c r="A42" i="9" s="1"/>
  <c r="AT9" i="9"/>
  <c r="A52" i="9" s="1"/>
  <c r="AC9" i="9"/>
  <c r="A28" i="9" s="1"/>
  <c r="AT8" i="9"/>
  <c r="A58" i="9" s="1"/>
  <c r="AT7" i="9"/>
  <c r="A57" i="9" s="1"/>
  <c r="AC7" i="9"/>
  <c r="A33" i="9" s="1"/>
  <c r="AT5" i="9"/>
  <c r="AC5" i="9"/>
  <c r="AT4" i="9"/>
  <c r="A50" i="9" s="1"/>
  <c r="AC4" i="9"/>
  <c r="AT3" i="9"/>
  <c r="A56" i="9" s="1"/>
  <c r="AC3" i="9"/>
  <c r="AT24" i="8"/>
  <c r="AC24" i="8"/>
  <c r="AT22" i="8"/>
  <c r="A55" i="8" s="1"/>
  <c r="AC22" i="8"/>
  <c r="A31" i="8" s="1"/>
  <c r="AT21" i="8"/>
  <c r="AC21" i="8"/>
  <c r="AT19" i="8"/>
  <c r="A68" i="8" s="1"/>
  <c r="AC19" i="8"/>
  <c r="AT17" i="8"/>
  <c r="A69" i="8" s="1"/>
  <c r="AC17" i="8"/>
  <c r="A45" i="8" s="1"/>
  <c r="AT16" i="8"/>
  <c r="A71" i="8" s="1"/>
  <c r="AC16" i="8"/>
  <c r="A47" i="8" s="1"/>
  <c r="AT15" i="8"/>
  <c r="A51" i="8" s="1"/>
  <c r="AC15" i="8"/>
  <c r="A27" i="8" s="1"/>
  <c r="AT14" i="8"/>
  <c r="AC14" i="8"/>
  <c r="A37" i="8" s="1"/>
  <c r="AT12" i="8"/>
  <c r="AC12" i="8"/>
  <c r="AT10" i="8"/>
  <c r="A66" i="8" s="1"/>
  <c r="AC10" i="8"/>
  <c r="A42" i="8" s="1"/>
  <c r="AT9" i="8"/>
  <c r="A52" i="8" s="1"/>
  <c r="AC9" i="8"/>
  <c r="A28" i="8" s="1"/>
  <c r="AT7" i="8"/>
  <c r="AC7" i="8"/>
  <c r="A33" i="8" s="1"/>
  <c r="AT6" i="8"/>
  <c r="A72" i="8" s="1"/>
  <c r="AC6" i="8"/>
  <c r="A48" i="8" s="1"/>
  <c r="AT5" i="8"/>
  <c r="AC5" i="8"/>
  <c r="AT4" i="8"/>
  <c r="AC4" i="8"/>
  <c r="AT24" i="7"/>
  <c r="AC24" i="7"/>
  <c r="A29" i="7" s="1"/>
  <c r="AT22" i="7"/>
  <c r="A55" i="7" s="1"/>
  <c r="AC22" i="7"/>
  <c r="A31" i="7" s="1"/>
  <c r="AT21" i="7"/>
  <c r="AC21" i="7"/>
  <c r="A38" i="7" s="1"/>
  <c r="AT19" i="7"/>
  <c r="AC19" i="7"/>
  <c r="AT17" i="7"/>
  <c r="A69" i="7" s="1"/>
  <c r="AC17" i="7"/>
  <c r="A45" i="7" s="1"/>
  <c r="AT16" i="7"/>
  <c r="AC16" i="7"/>
  <c r="AT15" i="7"/>
  <c r="AC15" i="7"/>
  <c r="A27" i="7" s="1"/>
  <c r="AT14" i="7"/>
  <c r="A61" i="7" s="1"/>
  <c r="AC14" i="7"/>
  <c r="AT13" i="7"/>
  <c r="A64" i="7" s="1"/>
  <c r="AC13" i="7"/>
  <c r="A40" i="7" s="1"/>
  <c r="AT10" i="7"/>
  <c r="A66" i="7" s="1"/>
  <c r="AC10" i="7"/>
  <c r="A42" i="7" s="1"/>
  <c r="AT7" i="7"/>
  <c r="AC7" i="7"/>
  <c r="A33" i="7" s="1"/>
  <c r="AC6" i="7"/>
  <c r="A48" i="7" s="1"/>
  <c r="AT5" i="7"/>
  <c r="A65" i="7" s="1"/>
  <c r="AC5" i="7"/>
  <c r="A41" i="7" s="1"/>
  <c r="AT4" i="7"/>
  <c r="A50" i="7" s="1"/>
  <c r="AC4" i="7"/>
  <c r="AT3" i="7"/>
  <c r="A56" i="7" s="1"/>
  <c r="AT24" i="6"/>
  <c r="AC24" i="6"/>
  <c r="AT23" i="6"/>
  <c r="AC23" i="6"/>
  <c r="AT22" i="6"/>
  <c r="A55" i="6" s="1"/>
  <c r="AC22" i="6"/>
  <c r="A31" i="6" s="1"/>
  <c r="AT21" i="6"/>
  <c r="AC21" i="6"/>
  <c r="AC20" i="6"/>
  <c r="A36" i="6" s="1"/>
  <c r="AT19" i="6"/>
  <c r="AC19" i="6"/>
  <c r="AT17" i="6"/>
  <c r="A69" i="6" s="1"/>
  <c r="AC17" i="6"/>
  <c r="A45" i="6" s="1"/>
  <c r="AT16" i="6"/>
  <c r="AC16" i="6"/>
  <c r="AT15" i="6"/>
  <c r="AC15" i="6"/>
  <c r="AT14" i="6"/>
  <c r="AC14" i="6"/>
  <c r="AC12" i="6"/>
  <c r="A30" i="6" s="1"/>
  <c r="AT10" i="6"/>
  <c r="AC10" i="6"/>
  <c r="A42" i="6" s="1"/>
  <c r="AT8" i="6"/>
  <c r="AC8" i="6"/>
  <c r="AT7" i="6"/>
  <c r="A57" i="6" s="1"/>
  <c r="AC7" i="6"/>
  <c r="A33" i="6" s="1"/>
  <c r="AT6" i="6"/>
  <c r="A72" i="6" s="1"/>
  <c r="AC6" i="6"/>
  <c r="AT5" i="6"/>
  <c r="A65" i="6" s="1"/>
  <c r="AC5" i="6"/>
  <c r="A41" i="6" s="1"/>
  <c r="AT4" i="6"/>
  <c r="A50" i="6" s="1"/>
  <c r="AC4" i="6"/>
  <c r="A26" i="6" s="1"/>
  <c r="AT3" i="6"/>
  <c r="A56" i="6" s="1"/>
  <c r="AC3" i="6"/>
  <c r="A32" i="6" s="1"/>
  <c r="AT2" i="6"/>
  <c r="A67" i="6" s="1"/>
  <c r="AC2" i="6"/>
  <c r="A43" i="6" s="1"/>
  <c r="AT24" i="5"/>
  <c r="AC24" i="5"/>
  <c r="AT22" i="5"/>
  <c r="AC22" i="5"/>
  <c r="A31" i="5" s="1"/>
  <c r="AT21" i="5"/>
  <c r="AC21" i="5"/>
  <c r="AT19" i="5"/>
  <c r="AC19" i="5"/>
  <c r="A44" i="5" s="1"/>
  <c r="AT17" i="5"/>
  <c r="A69" i="5" s="1"/>
  <c r="AC17" i="5"/>
  <c r="A45" i="5" s="1"/>
  <c r="AT16" i="5"/>
  <c r="AC16" i="5"/>
  <c r="AT15" i="5"/>
  <c r="AC15" i="5"/>
  <c r="A27" i="5" s="1"/>
  <c r="AT14" i="5"/>
  <c r="AC14" i="5"/>
  <c r="AC11" i="5"/>
  <c r="A39" i="5" s="1"/>
  <c r="AT10" i="5"/>
  <c r="A66" i="5" s="1"/>
  <c r="AC10" i="5"/>
  <c r="A42" i="5" s="1"/>
  <c r="AT7" i="5"/>
  <c r="A57" i="5" s="1"/>
  <c r="AC7" i="5"/>
  <c r="A33" i="5" s="1"/>
  <c r="AT6" i="5"/>
  <c r="AC6" i="5"/>
  <c r="A48" i="5" s="1"/>
  <c r="AT5" i="5"/>
  <c r="AC5" i="5"/>
  <c r="A41" i="5" s="1"/>
  <c r="AT4" i="5"/>
  <c r="AC4" i="5"/>
  <c r="A26" i="5" s="1"/>
  <c r="AT3" i="5"/>
  <c r="A56" i="5" s="1"/>
  <c r="AC3" i="5"/>
  <c r="A32" i="5" s="1"/>
  <c r="AT2" i="5"/>
  <c r="A67" i="5" s="1"/>
  <c r="AC2" i="5"/>
  <c r="A43" i="5" s="1"/>
  <c r="AT24" i="4"/>
  <c r="AC24" i="4"/>
  <c r="AT22" i="4"/>
  <c r="AC22" i="4"/>
  <c r="AT21" i="4"/>
  <c r="AC21" i="4"/>
  <c r="AT19" i="4"/>
  <c r="AC19" i="4"/>
  <c r="A44" i="4" s="1"/>
  <c r="AT17" i="4"/>
  <c r="AC17" i="4"/>
  <c r="AT16" i="4"/>
  <c r="AC16" i="4"/>
  <c r="AT15" i="4"/>
  <c r="AC15" i="4"/>
  <c r="AT14" i="4"/>
  <c r="AC14" i="4"/>
  <c r="A37" i="4" s="1"/>
  <c r="AT12" i="4"/>
  <c r="AC12" i="4"/>
  <c r="AT10" i="4"/>
  <c r="A66" i="4" s="1"/>
  <c r="AC10" i="4"/>
  <c r="A42" i="4" s="1"/>
  <c r="AT7" i="4"/>
  <c r="AC7" i="4"/>
  <c r="AT5" i="4"/>
  <c r="AC5" i="4"/>
  <c r="A41" i="4" s="1"/>
  <c r="AT4" i="4"/>
  <c r="AC4" i="4"/>
  <c r="AT2" i="4"/>
  <c r="A67" i="4" s="1"/>
  <c r="AC2" i="4"/>
  <c r="A43" i="4" s="1"/>
  <c r="A72" i="19"/>
  <c r="A71" i="19"/>
  <c r="A69" i="19"/>
  <c r="A65" i="19"/>
  <c r="A64" i="19"/>
  <c r="A62" i="19"/>
  <c r="A61" i="19"/>
  <c r="A60" i="19"/>
  <c r="A59" i="19"/>
  <c r="A58" i="19"/>
  <c r="A57" i="19"/>
  <c r="A55" i="19"/>
  <c r="A54" i="19"/>
  <c r="A53" i="19"/>
  <c r="A51" i="19"/>
  <c r="A48" i="19"/>
  <c r="A47" i="19"/>
  <c r="A44" i="19"/>
  <c r="A41" i="19"/>
  <c r="A40" i="19"/>
  <c r="A37" i="19"/>
  <c r="A36" i="19"/>
  <c r="A35" i="19"/>
  <c r="A34" i="19"/>
  <c r="A31" i="19"/>
  <c r="A30" i="19"/>
  <c r="A29" i="19"/>
  <c r="A27" i="19"/>
  <c r="A26" i="19"/>
  <c r="A72" i="18"/>
  <c r="A71" i="18"/>
  <c r="A65" i="18"/>
  <c r="A64" i="18"/>
  <c r="A63" i="18"/>
  <c r="A62" i="18"/>
  <c r="A61" i="18"/>
  <c r="A60" i="18"/>
  <c r="A59" i="18"/>
  <c r="A58" i="18"/>
  <c r="A57" i="18"/>
  <c r="A55" i="18"/>
  <c r="A53" i="18"/>
  <c r="A51" i="18"/>
  <c r="A48" i="18"/>
  <c r="A47" i="18"/>
  <c r="A44" i="18"/>
  <c r="A38" i="18"/>
  <c r="A37" i="18"/>
  <c r="A36" i="18"/>
  <c r="A35" i="18"/>
  <c r="A34" i="18"/>
  <c r="A33" i="18"/>
  <c r="A32" i="18"/>
  <c r="A31" i="18"/>
  <c r="A30" i="18"/>
  <c r="A29" i="18"/>
  <c r="A27" i="18"/>
  <c r="A26" i="18"/>
  <c r="A72" i="17"/>
  <c r="A71" i="17"/>
  <c r="A69" i="17"/>
  <c r="A68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7" i="17"/>
  <c r="A41" i="17"/>
  <c r="A40" i="17"/>
  <c r="A38" i="17"/>
  <c r="A36" i="17"/>
  <c r="A35" i="17"/>
  <c r="A34" i="17"/>
  <c r="A33" i="17"/>
  <c r="A30" i="17"/>
  <c r="A29" i="17"/>
  <c r="A27" i="17"/>
  <c r="A26" i="17"/>
  <c r="A72" i="16"/>
  <c r="A71" i="16"/>
  <c r="A68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1" i="16"/>
  <c r="A50" i="16"/>
  <c r="A48" i="16"/>
  <c r="A47" i="16"/>
  <c r="A44" i="16"/>
  <c r="A41" i="16"/>
  <c r="A40" i="16"/>
  <c r="A39" i="16"/>
  <c r="A38" i="16"/>
  <c r="A37" i="16"/>
  <c r="A36" i="16"/>
  <c r="A35" i="16"/>
  <c r="A34" i="16"/>
  <c r="A33" i="16"/>
  <c r="A31" i="16"/>
  <c r="A30" i="16"/>
  <c r="A29" i="16"/>
  <c r="A27" i="16"/>
  <c r="A26" i="16"/>
  <c r="A71" i="15"/>
  <c r="A70" i="15"/>
  <c r="A69" i="15"/>
  <c r="A68" i="15"/>
  <c r="A65" i="15"/>
  <c r="A64" i="15"/>
  <c r="A63" i="15"/>
  <c r="A62" i="15"/>
  <c r="A61" i="15"/>
  <c r="A60" i="15"/>
  <c r="A59" i="15"/>
  <c r="A58" i="15"/>
  <c r="A57" i="15"/>
  <c r="A55" i="15"/>
  <c r="A54" i="15"/>
  <c r="A53" i="15"/>
  <c r="A52" i="15"/>
  <c r="A51" i="15"/>
  <c r="A50" i="15"/>
  <c r="A48" i="15"/>
  <c r="A47" i="15"/>
  <c r="A44" i="15"/>
  <c r="A41" i="15"/>
  <c r="A40" i="15"/>
  <c r="A38" i="15"/>
  <c r="A37" i="15"/>
  <c r="A36" i="15"/>
  <c r="A35" i="15"/>
  <c r="A31" i="15"/>
  <c r="A30" i="15"/>
  <c r="A29" i="15"/>
  <c r="A27" i="15"/>
  <c r="A26" i="15"/>
  <c r="A72" i="14"/>
  <c r="A71" i="14"/>
  <c r="A70" i="14"/>
  <c r="A68" i="14"/>
  <c r="A65" i="14"/>
  <c r="A64" i="14"/>
  <c r="A63" i="14"/>
  <c r="A62" i="14"/>
  <c r="A61" i="14"/>
  <c r="A60" i="14"/>
  <c r="A59" i="14"/>
  <c r="A58" i="14"/>
  <c r="A57" i="14"/>
  <c r="A55" i="14"/>
  <c r="A54" i="14"/>
  <c r="A53" i="14"/>
  <c r="A51" i="14"/>
  <c r="A48" i="14"/>
  <c r="A47" i="14"/>
  <c r="A44" i="14"/>
  <c r="A41" i="14"/>
  <c r="A40" i="14"/>
  <c r="A39" i="14"/>
  <c r="A38" i="14"/>
  <c r="A37" i="14"/>
  <c r="A36" i="14"/>
  <c r="A35" i="14"/>
  <c r="A33" i="14"/>
  <c r="A32" i="14"/>
  <c r="A31" i="14"/>
  <c r="A30" i="14"/>
  <c r="A29" i="14"/>
  <c r="A27" i="14"/>
  <c r="A26" i="14"/>
  <c r="A72" i="13"/>
  <c r="A71" i="13"/>
  <c r="A70" i="13"/>
  <c r="A69" i="13"/>
  <c r="A68" i="13"/>
  <c r="A67" i="13"/>
  <c r="A65" i="13"/>
  <c r="A64" i="13"/>
  <c r="A63" i="13"/>
  <c r="A62" i="13"/>
  <c r="A61" i="13"/>
  <c r="A60" i="13"/>
  <c r="A59" i="13"/>
  <c r="A58" i="13"/>
  <c r="A57" i="13"/>
  <c r="A55" i="13"/>
  <c r="A54" i="13"/>
  <c r="A53" i="13"/>
  <c r="A51" i="13"/>
  <c r="A50" i="13"/>
  <c r="A48" i="13"/>
  <c r="A47" i="13"/>
  <c r="A44" i="13"/>
  <c r="A42" i="13"/>
  <c r="A40" i="13"/>
  <c r="A38" i="13"/>
  <c r="A37" i="13"/>
  <c r="A36" i="13"/>
  <c r="A35" i="13"/>
  <c r="A31" i="13"/>
  <c r="A30" i="13"/>
  <c r="A29" i="13"/>
  <c r="A28" i="13"/>
  <c r="A27" i="13"/>
  <c r="A26" i="13"/>
  <c r="A71" i="11"/>
  <c r="A68" i="11"/>
  <c r="A65" i="11"/>
  <c r="A62" i="11"/>
  <c r="A61" i="11"/>
  <c r="A57" i="11"/>
  <c r="A55" i="11"/>
  <c r="A54" i="11"/>
  <c r="A53" i="11"/>
  <c r="A51" i="11"/>
  <c r="A50" i="11"/>
  <c r="A47" i="11"/>
  <c r="A41" i="11"/>
  <c r="A38" i="11"/>
  <c r="A33" i="11"/>
  <c r="A31" i="11"/>
  <c r="A30" i="11"/>
  <c r="A29" i="11"/>
  <c r="A27" i="11"/>
  <c r="A65" i="10"/>
  <c r="A62" i="10"/>
  <c r="A61" i="10"/>
  <c r="A57" i="10"/>
  <c r="A55" i="10"/>
  <c r="A54" i="10"/>
  <c r="A53" i="10"/>
  <c r="A51" i="10"/>
  <c r="A41" i="10"/>
  <c r="A38" i="10"/>
  <c r="A31" i="10"/>
  <c r="A30" i="10"/>
  <c r="A27" i="10"/>
  <c r="A26" i="10"/>
  <c r="A68" i="9"/>
  <c r="A65" i="9"/>
  <c r="A62" i="9"/>
  <c r="A61" i="9"/>
  <c r="A55" i="9"/>
  <c r="A54" i="9"/>
  <c r="A53" i="9"/>
  <c r="A51" i="9"/>
  <c r="A41" i="9"/>
  <c r="A38" i="9"/>
  <c r="A32" i="9"/>
  <c r="A31" i="9"/>
  <c r="A30" i="9"/>
  <c r="A26" i="9"/>
  <c r="A65" i="8"/>
  <c r="A62" i="8"/>
  <c r="A61" i="8"/>
  <c r="A57" i="8"/>
  <c r="A54" i="8"/>
  <c r="A53" i="8"/>
  <c r="A50" i="8"/>
  <c r="A44" i="8"/>
  <c r="A41" i="8"/>
  <c r="A38" i="8"/>
  <c r="A30" i="8"/>
  <c r="A29" i="8"/>
  <c r="A26" i="8"/>
  <c r="A71" i="7"/>
  <c r="A68" i="7"/>
  <c r="A62" i="7"/>
  <c r="A57" i="7"/>
  <c r="A53" i="7"/>
  <c r="A51" i="7"/>
  <c r="A47" i="7"/>
  <c r="A44" i="7"/>
  <c r="A37" i="7"/>
  <c r="A26" i="7"/>
  <c r="A71" i="6"/>
  <c r="A68" i="6"/>
  <c r="A66" i="6"/>
  <c r="A62" i="6"/>
  <c r="A61" i="6"/>
  <c r="A59" i="6"/>
  <c r="A58" i="6"/>
  <c r="A53" i="6"/>
  <c r="A51" i="6"/>
  <c r="A48" i="6"/>
  <c r="A47" i="6"/>
  <c r="A44" i="6"/>
  <c r="A38" i="6"/>
  <c r="A37" i="6"/>
  <c r="A35" i="6"/>
  <c r="A34" i="6"/>
  <c r="A29" i="6"/>
  <c r="A27" i="6"/>
  <c r="A72" i="5"/>
  <c r="A71" i="5"/>
  <c r="A68" i="5"/>
  <c r="A65" i="5"/>
  <c r="A62" i="5"/>
  <c r="A61" i="5"/>
  <c r="A55" i="5"/>
  <c r="A53" i="5"/>
  <c r="A51" i="5"/>
  <c r="A50" i="5"/>
  <c r="A47" i="5"/>
  <c r="A38" i="5"/>
  <c r="A37" i="5"/>
  <c r="A29" i="5"/>
  <c r="A71" i="4"/>
  <c r="A69" i="4"/>
  <c r="A68" i="4"/>
  <c r="A65" i="4"/>
  <c r="A62" i="4"/>
  <c r="A61" i="4"/>
  <c r="A57" i="4"/>
  <c r="A55" i="4"/>
  <c r="A54" i="4"/>
  <c r="A53" i="4"/>
  <c r="A51" i="4"/>
  <c r="A50" i="4"/>
  <c r="A47" i="4"/>
  <c r="A45" i="4"/>
  <c r="A38" i="4"/>
  <c r="A33" i="4"/>
  <c r="A31" i="4"/>
  <c r="A30" i="4"/>
  <c r="A29" i="4"/>
  <c r="A27" i="4"/>
  <c r="A26" i="4"/>
  <c r="A58" i="3"/>
  <c r="A42" i="3"/>
  <c r="AT24" i="3"/>
  <c r="A53" i="3" s="1"/>
  <c r="AC24" i="3"/>
  <c r="A29" i="3" s="1"/>
  <c r="AT23" i="3"/>
  <c r="A59" i="3" s="1"/>
  <c r="AT22" i="3"/>
  <c r="A55" i="3" s="1"/>
  <c r="AC22" i="3"/>
  <c r="A31" i="3" s="1"/>
  <c r="AT21" i="3"/>
  <c r="A62" i="3" s="1"/>
  <c r="AC21" i="3"/>
  <c r="A38" i="3" s="1"/>
  <c r="AT19" i="3"/>
  <c r="A68" i="3" s="1"/>
  <c r="AC19" i="3"/>
  <c r="A44" i="3" s="1"/>
  <c r="AT17" i="3"/>
  <c r="A69" i="3" s="1"/>
  <c r="AC17" i="3"/>
  <c r="A45" i="3" s="1"/>
  <c r="AT16" i="3"/>
  <c r="A71" i="3" s="1"/>
  <c r="AC16" i="3"/>
  <c r="A47" i="3" s="1"/>
  <c r="AT15" i="3"/>
  <c r="A51" i="3" s="1"/>
  <c r="AC15" i="3"/>
  <c r="A27" i="3" s="1"/>
  <c r="AT14" i="3"/>
  <c r="A61" i="3" s="1"/>
  <c r="AC14" i="3"/>
  <c r="A37" i="3" s="1"/>
  <c r="AT12" i="3"/>
  <c r="A54" i="3" s="1"/>
  <c r="AC12" i="3"/>
  <c r="A30" i="3" s="1"/>
  <c r="AT10" i="3"/>
  <c r="A66" i="3" s="1"/>
  <c r="AC10" i="3"/>
  <c r="AC9" i="3"/>
  <c r="A28" i="3" s="1"/>
  <c r="AT8" i="3"/>
  <c r="AC8" i="3"/>
  <c r="A34" i="3" s="1"/>
  <c r="AT7" i="3"/>
  <c r="A57" i="3" s="1"/>
  <c r="AC7" i="3"/>
  <c r="A33" i="3" s="1"/>
  <c r="AT5" i="3"/>
  <c r="A65" i="3" s="1"/>
  <c r="AC5" i="3"/>
  <c r="A41" i="3" s="1"/>
  <c r="AT4" i="3"/>
  <c r="A50" i="3" s="1"/>
  <c r="AC4" i="3"/>
  <c r="A26" i="3" s="1"/>
  <c r="AT2" i="3"/>
  <c r="A67" i="3" s="1"/>
  <c r="AA24" i="19"/>
  <c r="AA23" i="19"/>
  <c r="AA22" i="19"/>
  <c r="AA21" i="19"/>
  <c r="AA20" i="19"/>
  <c r="AA19" i="19"/>
  <c r="AA18" i="19"/>
  <c r="AA17" i="19"/>
  <c r="AA16" i="19"/>
  <c r="AA15" i="19"/>
  <c r="AA14" i="19"/>
  <c r="AA13" i="19"/>
  <c r="AA12" i="19"/>
  <c r="AA11" i="19"/>
  <c r="AA10" i="19"/>
  <c r="AA9" i="19"/>
  <c r="AA8" i="19"/>
  <c r="AA7" i="19"/>
  <c r="AA6" i="19"/>
  <c r="AA5" i="19"/>
  <c r="AA4" i="19"/>
  <c r="AA3" i="19"/>
  <c r="AA2" i="19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AA2" i="18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A6" i="17"/>
  <c r="AA5" i="17"/>
  <c r="AA4" i="17"/>
  <c r="AA3" i="17"/>
  <c r="AA2" i="17"/>
  <c r="AA24" i="16"/>
  <c r="AA23" i="16"/>
  <c r="AA22" i="16"/>
  <c r="AA21" i="16"/>
  <c r="AA20" i="16"/>
  <c r="AA19" i="16"/>
  <c r="AA18" i="16"/>
  <c r="AA17" i="16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AA2" i="16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8" i="15"/>
  <c r="AA7" i="15"/>
  <c r="AA6" i="15"/>
  <c r="AA5" i="15"/>
  <c r="AA4" i="15"/>
  <c r="AA3" i="15"/>
  <c r="AA2" i="15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4" i="14"/>
  <c r="AA3" i="14"/>
  <c r="AA2" i="14"/>
  <c r="AA24" i="13"/>
  <c r="AA23" i="13"/>
  <c r="AA22" i="13"/>
  <c r="AA21" i="13"/>
  <c r="AA20" i="13"/>
  <c r="AA19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2" i="13"/>
  <c r="AA23" i="12"/>
  <c r="AA22" i="12"/>
  <c r="AA21" i="12"/>
  <c r="AA20" i="12"/>
  <c r="AA19" i="12"/>
  <c r="AA18" i="12"/>
  <c r="AA17" i="12"/>
  <c r="AA16" i="12"/>
  <c r="AA15" i="12"/>
  <c r="AA13" i="12"/>
  <c r="AA12" i="12"/>
  <c r="AA11" i="12"/>
  <c r="AA10" i="12"/>
  <c r="AA9" i="12"/>
  <c r="AA8" i="12"/>
  <c r="AA7" i="12"/>
  <c r="AA6" i="12"/>
  <c r="AA5" i="12"/>
  <c r="AA3" i="12"/>
  <c r="AA2" i="12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AA2" i="11"/>
  <c r="AA24" i="10"/>
  <c r="AA23" i="10"/>
  <c r="AA22" i="10"/>
  <c r="AA21" i="10"/>
  <c r="AA20" i="10"/>
  <c r="AA19" i="10"/>
  <c r="AA18" i="10"/>
  <c r="AA17" i="10"/>
  <c r="AA16" i="10"/>
  <c r="AA15" i="10"/>
  <c r="AA14" i="10"/>
  <c r="AA13" i="10"/>
  <c r="AA12" i="10"/>
  <c r="AA11" i="10"/>
  <c r="AA10" i="10"/>
  <c r="AA9" i="10"/>
  <c r="AA8" i="10"/>
  <c r="AC8" i="10" s="1"/>
  <c r="A34" i="10" s="1"/>
  <c r="AA7" i="10"/>
  <c r="AA6" i="10"/>
  <c r="AA5" i="10"/>
  <c r="AA4" i="10"/>
  <c r="AA3" i="10"/>
  <c r="AA2" i="10"/>
  <c r="AA24" i="9"/>
  <c r="AA23" i="9"/>
  <c r="AA22" i="9"/>
  <c r="AA21" i="9"/>
  <c r="AA20" i="9"/>
  <c r="AA19" i="9"/>
  <c r="AA18" i="9"/>
  <c r="AA17" i="9"/>
  <c r="AA16" i="9"/>
  <c r="AA15" i="9"/>
  <c r="AA14" i="9"/>
  <c r="AA13" i="9"/>
  <c r="AA12" i="9"/>
  <c r="AA11" i="9"/>
  <c r="AA10" i="9"/>
  <c r="AA9" i="9"/>
  <c r="AA8" i="9"/>
  <c r="AA7" i="9"/>
  <c r="AA6" i="9"/>
  <c r="AA5" i="9"/>
  <c r="AA4" i="9"/>
  <c r="AA3" i="9"/>
  <c r="AA2" i="9"/>
  <c r="AC2" i="9" s="1"/>
  <c r="A43" i="9" s="1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AA7" i="8"/>
  <c r="AA6" i="8"/>
  <c r="AA5" i="8"/>
  <c r="AA4" i="8"/>
  <c r="AA3" i="8"/>
  <c r="AA2" i="8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A2" i="6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T6" i="3" s="1"/>
  <c r="A72" i="3" s="1"/>
  <c r="AA5" i="3"/>
  <c r="AA4" i="3"/>
  <c r="AA3" i="3"/>
  <c r="AA2" i="3"/>
  <c r="AA24" i="2"/>
  <c r="D78" i="2" s="1"/>
  <c r="AA23" i="2"/>
  <c r="J78" i="2" s="1"/>
  <c r="AA22" i="2"/>
  <c r="F78" i="2" s="1"/>
  <c r="AA21" i="2"/>
  <c r="AA20" i="2"/>
  <c r="K78" i="2" s="1"/>
  <c r="AA19" i="2"/>
  <c r="S78" i="2" s="1"/>
  <c r="AA18" i="2"/>
  <c r="U78" i="2" s="1"/>
  <c r="AA17" i="2"/>
  <c r="T78" i="2" s="1"/>
  <c r="AA16" i="2"/>
  <c r="V78" i="2" s="1"/>
  <c r="AA15" i="2"/>
  <c r="B78" i="2" s="1"/>
  <c r="AA14" i="2"/>
  <c r="L78" i="2" s="1"/>
  <c r="AA13" i="2"/>
  <c r="O78" i="2" s="1"/>
  <c r="AA12" i="2"/>
  <c r="E78" i="2" s="1"/>
  <c r="AA11" i="2"/>
  <c r="N78" i="2" s="1"/>
  <c r="AA10" i="2"/>
  <c r="Q78" i="2" s="1"/>
  <c r="AA9" i="2"/>
  <c r="C78" i="2" s="1"/>
  <c r="AA8" i="2"/>
  <c r="I78" i="2" s="1"/>
  <c r="AA7" i="2"/>
  <c r="H78" i="2" s="1"/>
  <c r="AA6" i="2"/>
  <c r="W78" i="2" s="1"/>
  <c r="AA5" i="2"/>
  <c r="P78" i="2" s="1"/>
  <c r="AA4" i="2"/>
  <c r="A78" i="2" s="1"/>
  <c r="AA3" i="2"/>
  <c r="G78" i="2" s="1"/>
  <c r="AA2" i="2"/>
  <c r="R78" i="2" s="1"/>
  <c r="Y24" i="19"/>
  <c r="Y23" i="19"/>
  <c r="Y22" i="19"/>
  <c r="Y21" i="19"/>
  <c r="Y20" i="19"/>
  <c r="Y19" i="19"/>
  <c r="Y18" i="19"/>
  <c r="Y17" i="19"/>
  <c r="Y16" i="19"/>
  <c r="Y15" i="19"/>
  <c r="Y14" i="19"/>
  <c r="Y13" i="19"/>
  <c r="Y12" i="19"/>
  <c r="Y11" i="19"/>
  <c r="Y10" i="19"/>
  <c r="Y9" i="19"/>
  <c r="Y8" i="19"/>
  <c r="Y7" i="19"/>
  <c r="Y6" i="19"/>
  <c r="Y5" i="19"/>
  <c r="Y4" i="19"/>
  <c r="Y3" i="19"/>
  <c r="Y2" i="19"/>
  <c r="Y24" i="18"/>
  <c r="Y23" i="18"/>
  <c r="Y22" i="18"/>
  <c r="Y21" i="18"/>
  <c r="Y20" i="18"/>
  <c r="Y19" i="18"/>
  <c r="Y18" i="18"/>
  <c r="Y17" i="18"/>
  <c r="Y16" i="18"/>
  <c r="Y15" i="18"/>
  <c r="Y14" i="18"/>
  <c r="Y13" i="18"/>
  <c r="Y12" i="18"/>
  <c r="Y11" i="18"/>
  <c r="Y10" i="18"/>
  <c r="Y9" i="18"/>
  <c r="Y8" i="18"/>
  <c r="Y7" i="18"/>
  <c r="Y6" i="18"/>
  <c r="Y5" i="18"/>
  <c r="Y4" i="18"/>
  <c r="Y3" i="18"/>
  <c r="Y2" i="18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Y4" i="17"/>
  <c r="Y3" i="17"/>
  <c r="Y2" i="17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Y5" i="16"/>
  <c r="Y4" i="16"/>
  <c r="Y3" i="16"/>
  <c r="Y2" i="16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Y24" i="14"/>
  <c r="Y23" i="14"/>
  <c r="Y22" i="14"/>
  <c r="Y21" i="14"/>
  <c r="Y20" i="14"/>
  <c r="Y19" i="14"/>
  <c r="Y18" i="14"/>
  <c r="Y17" i="14"/>
  <c r="Y16" i="14"/>
  <c r="Y15" i="14"/>
  <c r="Y14" i="14"/>
  <c r="Y13" i="14"/>
  <c r="Y12" i="14"/>
  <c r="Y11" i="14"/>
  <c r="Y10" i="14"/>
  <c r="Y9" i="14"/>
  <c r="Y8" i="14"/>
  <c r="Y7" i="14"/>
  <c r="Y6" i="14"/>
  <c r="Y5" i="14"/>
  <c r="Y4" i="14"/>
  <c r="Y3" i="14"/>
  <c r="Y2" i="14"/>
  <c r="Y24" i="13"/>
  <c r="Y23" i="13"/>
  <c r="Y22" i="13"/>
  <c r="Y21" i="13"/>
  <c r="Y20" i="13"/>
  <c r="Y19" i="13"/>
  <c r="Y18" i="13"/>
  <c r="Y17" i="13"/>
  <c r="Y16" i="13"/>
  <c r="Y15" i="13"/>
  <c r="Y14" i="13"/>
  <c r="Y13" i="13"/>
  <c r="Y12" i="13"/>
  <c r="Y11" i="13"/>
  <c r="Y10" i="13"/>
  <c r="Y9" i="13"/>
  <c r="Y8" i="13"/>
  <c r="Y7" i="13"/>
  <c r="Y6" i="13"/>
  <c r="Y5" i="13"/>
  <c r="Y4" i="13"/>
  <c r="Y3" i="13"/>
  <c r="Y2" i="13"/>
  <c r="Y23" i="12"/>
  <c r="Y22" i="12"/>
  <c r="Y21" i="12"/>
  <c r="Y20" i="12"/>
  <c r="Y19" i="12"/>
  <c r="Y18" i="12"/>
  <c r="Y17" i="12"/>
  <c r="Y16" i="12"/>
  <c r="Y15" i="12"/>
  <c r="Y13" i="12"/>
  <c r="Y12" i="12"/>
  <c r="Y11" i="12"/>
  <c r="Y10" i="12"/>
  <c r="Y9" i="12"/>
  <c r="Y8" i="12"/>
  <c r="Y7" i="12"/>
  <c r="Y6" i="12"/>
  <c r="Y5" i="12"/>
  <c r="Y3" i="12"/>
  <c r="Y2" i="12"/>
  <c r="Y24" i="11"/>
  <c r="Y23" i="11"/>
  <c r="AT23" i="11" s="1"/>
  <c r="A59" i="11" s="1"/>
  <c r="Y22" i="11"/>
  <c r="Y21" i="11"/>
  <c r="Y20" i="11"/>
  <c r="AT20" i="11" s="1"/>
  <c r="A60" i="11" s="1"/>
  <c r="Y19" i="11"/>
  <c r="Y18" i="11"/>
  <c r="AT18" i="11" s="1"/>
  <c r="A70" i="11" s="1"/>
  <c r="Y17" i="11"/>
  <c r="Y16" i="11"/>
  <c r="Y15" i="11"/>
  <c r="Y14" i="11"/>
  <c r="Y13" i="11"/>
  <c r="AT13" i="11" s="1"/>
  <c r="A64" i="11" s="1"/>
  <c r="Y12" i="11"/>
  <c r="Y11" i="11"/>
  <c r="Y10" i="11"/>
  <c r="Y9" i="11"/>
  <c r="Y8" i="11"/>
  <c r="AT8" i="11" s="1"/>
  <c r="A58" i="11" s="1"/>
  <c r="Y7" i="11"/>
  <c r="Y6" i="11"/>
  <c r="AT6" i="11" s="1"/>
  <c r="A72" i="11" s="1"/>
  <c r="Y5" i="11"/>
  <c r="Y4" i="11"/>
  <c r="Y3" i="11"/>
  <c r="Y2" i="11"/>
  <c r="AT2" i="11" s="1"/>
  <c r="A67" i="11" s="1"/>
  <c r="Y24" i="10"/>
  <c r="Y23" i="10"/>
  <c r="AT23" i="10" s="1"/>
  <c r="A59" i="10" s="1"/>
  <c r="Y22" i="10"/>
  <c r="Y21" i="10"/>
  <c r="Y20" i="10"/>
  <c r="AT20" i="10" s="1"/>
  <c r="A60" i="10" s="1"/>
  <c r="Y19" i="10"/>
  <c r="Y18" i="10"/>
  <c r="AT18" i="10" s="1"/>
  <c r="A70" i="10" s="1"/>
  <c r="Y17" i="10"/>
  <c r="Y16" i="10"/>
  <c r="Y15" i="10"/>
  <c r="Y14" i="10"/>
  <c r="Y13" i="10"/>
  <c r="AT13" i="10" s="1"/>
  <c r="A64" i="10" s="1"/>
  <c r="Y12" i="10"/>
  <c r="Y11" i="10"/>
  <c r="AT11" i="10" s="1"/>
  <c r="A63" i="10" s="1"/>
  <c r="Y10" i="10"/>
  <c r="Y9" i="10"/>
  <c r="Y8" i="10"/>
  <c r="AT8" i="10" s="1"/>
  <c r="A58" i="10" s="1"/>
  <c r="Y7" i="10"/>
  <c r="Y6" i="10"/>
  <c r="Y5" i="10"/>
  <c r="Y4" i="10"/>
  <c r="Y3" i="10"/>
  <c r="Y2" i="10"/>
  <c r="AT2" i="10" s="1"/>
  <c r="A67" i="10" s="1"/>
  <c r="Y24" i="9"/>
  <c r="Y23" i="9"/>
  <c r="AT23" i="9" s="1"/>
  <c r="A59" i="9" s="1"/>
  <c r="Y22" i="9"/>
  <c r="Y21" i="9"/>
  <c r="Y20" i="9"/>
  <c r="AT20" i="9" s="1"/>
  <c r="A60" i="9" s="1"/>
  <c r="Y19" i="9"/>
  <c r="Y18" i="9"/>
  <c r="AT18" i="9" s="1"/>
  <c r="A70" i="9" s="1"/>
  <c r="Y17" i="9"/>
  <c r="Y16" i="9"/>
  <c r="Y15" i="9"/>
  <c r="Y14" i="9"/>
  <c r="Y13" i="9"/>
  <c r="AT13" i="9" s="1"/>
  <c r="A64" i="9" s="1"/>
  <c r="Y12" i="9"/>
  <c r="Y11" i="9"/>
  <c r="AT11" i="9" s="1"/>
  <c r="A63" i="9" s="1"/>
  <c r="Y10" i="9"/>
  <c r="Y9" i="9"/>
  <c r="Y8" i="9"/>
  <c r="Y7" i="9"/>
  <c r="Y6" i="9"/>
  <c r="AT6" i="9" s="1"/>
  <c r="A72" i="9" s="1"/>
  <c r="Y5" i="9"/>
  <c r="Y4" i="9"/>
  <c r="Y3" i="9"/>
  <c r="Y2" i="9"/>
  <c r="Y24" i="8"/>
  <c r="Y23" i="8"/>
  <c r="AT23" i="8" s="1"/>
  <c r="A59" i="8" s="1"/>
  <c r="Y22" i="8"/>
  <c r="Y21" i="8"/>
  <c r="Y20" i="8"/>
  <c r="AT20" i="8" s="1"/>
  <c r="A60" i="8" s="1"/>
  <c r="Y19" i="8"/>
  <c r="Y18" i="8"/>
  <c r="AT18" i="8" s="1"/>
  <c r="A70" i="8" s="1"/>
  <c r="Y17" i="8"/>
  <c r="Y16" i="8"/>
  <c r="Y15" i="8"/>
  <c r="Y14" i="8"/>
  <c r="Y13" i="8"/>
  <c r="AT13" i="8" s="1"/>
  <c r="A64" i="8" s="1"/>
  <c r="Y12" i="8"/>
  <c r="Y11" i="8"/>
  <c r="AT11" i="8" s="1"/>
  <c r="A63" i="8" s="1"/>
  <c r="Y10" i="8"/>
  <c r="Y9" i="8"/>
  <c r="Y8" i="8"/>
  <c r="AT8" i="8" s="1"/>
  <c r="A58" i="8" s="1"/>
  <c r="Y7" i="8"/>
  <c r="Y6" i="8"/>
  <c r="Y5" i="8"/>
  <c r="Y4" i="8"/>
  <c r="Y3" i="8"/>
  <c r="AT3" i="8" s="1"/>
  <c r="A56" i="8" s="1"/>
  <c r="Y2" i="8"/>
  <c r="AT2" i="8" s="1"/>
  <c r="A67" i="8" s="1"/>
  <c r="Y24" i="7"/>
  <c r="Y23" i="7"/>
  <c r="AT23" i="7" s="1"/>
  <c r="A59" i="7" s="1"/>
  <c r="Y22" i="7"/>
  <c r="Y21" i="7"/>
  <c r="Y20" i="7"/>
  <c r="AT20" i="7" s="1"/>
  <c r="A60" i="7" s="1"/>
  <c r="Y19" i="7"/>
  <c r="Y18" i="7"/>
  <c r="AT18" i="7" s="1"/>
  <c r="A70" i="7" s="1"/>
  <c r="Y17" i="7"/>
  <c r="Y16" i="7"/>
  <c r="Y15" i="7"/>
  <c r="Y14" i="7"/>
  <c r="Y13" i="7"/>
  <c r="Y12" i="7"/>
  <c r="AT12" i="7" s="1"/>
  <c r="A54" i="7" s="1"/>
  <c r="Y11" i="7"/>
  <c r="AT11" i="7" s="1"/>
  <c r="A63" i="7" s="1"/>
  <c r="Y10" i="7"/>
  <c r="Y9" i="7"/>
  <c r="AT9" i="7" s="1"/>
  <c r="A52" i="7" s="1"/>
  <c r="Y8" i="7"/>
  <c r="AT8" i="7" s="1"/>
  <c r="A58" i="7" s="1"/>
  <c r="Y7" i="7"/>
  <c r="Y6" i="7"/>
  <c r="AT6" i="7" s="1"/>
  <c r="A72" i="7" s="1"/>
  <c r="Y5" i="7"/>
  <c r="Y4" i="7"/>
  <c r="Y3" i="7"/>
  <c r="Y2" i="7"/>
  <c r="AT2" i="7" s="1"/>
  <c r="A67" i="7" s="1"/>
  <c r="Y24" i="6"/>
  <c r="Y23" i="6"/>
  <c r="Y22" i="6"/>
  <c r="Y21" i="6"/>
  <c r="Y20" i="6"/>
  <c r="AT20" i="6" s="1"/>
  <c r="A60" i="6" s="1"/>
  <c r="Y19" i="6"/>
  <c r="Y18" i="6"/>
  <c r="AT18" i="6" s="1"/>
  <c r="A70" i="6" s="1"/>
  <c r="Y17" i="6"/>
  <c r="Y16" i="6"/>
  <c r="Y15" i="6"/>
  <c r="Y14" i="6"/>
  <c r="Y13" i="6"/>
  <c r="AT13" i="6" s="1"/>
  <c r="A64" i="6" s="1"/>
  <c r="Y12" i="6"/>
  <c r="AT12" i="6" s="1"/>
  <c r="A54" i="6" s="1"/>
  <c r="Y11" i="6"/>
  <c r="AT11" i="6" s="1"/>
  <c r="A63" i="6" s="1"/>
  <c r="Y10" i="6"/>
  <c r="Y9" i="6"/>
  <c r="AT9" i="6" s="1"/>
  <c r="A52" i="6" s="1"/>
  <c r="Y8" i="6"/>
  <c r="Y7" i="6"/>
  <c r="Y6" i="6"/>
  <c r="Y5" i="6"/>
  <c r="Y4" i="6"/>
  <c r="Y3" i="6"/>
  <c r="Y2" i="6"/>
  <c r="Y24" i="5"/>
  <c r="Y23" i="5"/>
  <c r="AT23" i="5" s="1"/>
  <c r="A59" i="5" s="1"/>
  <c r="Y22" i="5"/>
  <c r="Y21" i="5"/>
  <c r="Y20" i="5"/>
  <c r="AT20" i="5" s="1"/>
  <c r="A60" i="5" s="1"/>
  <c r="Y19" i="5"/>
  <c r="Y18" i="5"/>
  <c r="AT18" i="5" s="1"/>
  <c r="A70" i="5" s="1"/>
  <c r="Y17" i="5"/>
  <c r="Y16" i="5"/>
  <c r="Y15" i="5"/>
  <c r="Y14" i="5"/>
  <c r="Y13" i="5"/>
  <c r="AT13" i="5" s="1"/>
  <c r="A64" i="5" s="1"/>
  <c r="Y12" i="5"/>
  <c r="AT12" i="5" s="1"/>
  <c r="A54" i="5" s="1"/>
  <c r="Y11" i="5"/>
  <c r="AT11" i="5" s="1"/>
  <c r="A63" i="5" s="1"/>
  <c r="Y10" i="5"/>
  <c r="Y9" i="5"/>
  <c r="AT9" i="5" s="1"/>
  <c r="A52" i="5" s="1"/>
  <c r="Y8" i="5"/>
  <c r="Y7" i="5"/>
  <c r="Y6" i="5"/>
  <c r="Y5" i="5"/>
  <c r="Y4" i="5"/>
  <c r="Y3" i="5"/>
  <c r="Y2" i="5"/>
  <c r="Y24" i="4"/>
  <c r="Y23" i="4"/>
  <c r="AT23" i="4" s="1"/>
  <c r="A59" i="4" s="1"/>
  <c r="Y22" i="4"/>
  <c r="Y21" i="4"/>
  <c r="Y20" i="4"/>
  <c r="AT20" i="4" s="1"/>
  <c r="A60" i="4" s="1"/>
  <c r="Y19" i="4"/>
  <c r="Y18" i="4"/>
  <c r="AT18" i="4" s="1"/>
  <c r="A70" i="4" s="1"/>
  <c r="Y17" i="4"/>
  <c r="Y16" i="4"/>
  <c r="Y15" i="4"/>
  <c r="Y14" i="4"/>
  <c r="Y13" i="4"/>
  <c r="AT13" i="4" s="1"/>
  <c r="A64" i="4" s="1"/>
  <c r="Y12" i="4"/>
  <c r="Y11" i="4"/>
  <c r="AT11" i="4" s="1"/>
  <c r="A63" i="4" s="1"/>
  <c r="Y10" i="4"/>
  <c r="Y9" i="4"/>
  <c r="AT9" i="4" s="1"/>
  <c r="A52" i="4" s="1"/>
  <c r="Y8" i="4"/>
  <c r="AT8" i="4" s="1"/>
  <c r="A58" i="4" s="1"/>
  <c r="Y7" i="4"/>
  <c r="Y6" i="4"/>
  <c r="AT6" i="4" s="1"/>
  <c r="A72" i="4" s="1"/>
  <c r="Y5" i="4"/>
  <c r="Y4" i="4"/>
  <c r="Y3" i="4"/>
  <c r="Y2" i="4"/>
  <c r="Y24" i="3"/>
  <c r="Y23" i="3"/>
  <c r="Y22" i="3"/>
  <c r="Y21" i="3"/>
  <c r="Y20" i="3"/>
  <c r="AT20" i="3" s="1"/>
  <c r="A60" i="3" s="1"/>
  <c r="Y19" i="3"/>
  <c r="Y18" i="3"/>
  <c r="AT18" i="3" s="1"/>
  <c r="A70" i="3" s="1"/>
  <c r="Y17" i="3"/>
  <c r="Y16" i="3"/>
  <c r="Y15" i="3"/>
  <c r="Y14" i="3"/>
  <c r="Y13" i="3"/>
  <c r="AT13" i="3" s="1"/>
  <c r="A64" i="3" s="1"/>
  <c r="Y12" i="3"/>
  <c r="Y11" i="3"/>
  <c r="AT11" i="3" s="1"/>
  <c r="A63" i="3" s="1"/>
  <c r="Y10" i="3"/>
  <c r="Y9" i="3"/>
  <c r="AT9" i="3" s="1"/>
  <c r="A52" i="3" s="1"/>
  <c r="Y8" i="3"/>
  <c r="Y7" i="3"/>
  <c r="Y6" i="3"/>
  <c r="Y5" i="3"/>
  <c r="Y4" i="3"/>
  <c r="Y3" i="3"/>
  <c r="AT3" i="3" s="1"/>
  <c r="A56" i="3" s="1"/>
  <c r="Y2" i="3"/>
  <c r="Y24" i="2"/>
  <c r="D97" i="2" s="1"/>
  <c r="Y23" i="2"/>
  <c r="J97" i="2" s="1"/>
  <c r="Y22" i="2"/>
  <c r="F97" i="2" s="1"/>
  <c r="Y21" i="2"/>
  <c r="M97" i="2" s="1"/>
  <c r="Y20" i="2"/>
  <c r="Y19" i="2"/>
  <c r="S97" i="2" s="1"/>
  <c r="Y18" i="2"/>
  <c r="U130" i="2" s="1"/>
  <c r="Y17" i="2"/>
  <c r="T97" i="2" s="1"/>
  <c r="Y16" i="2"/>
  <c r="V130" i="2" s="1"/>
  <c r="Y15" i="2"/>
  <c r="B130" i="2" s="1"/>
  <c r="Y14" i="2"/>
  <c r="L130" i="2" s="1"/>
  <c r="Y13" i="2"/>
  <c r="O130" i="2" s="1"/>
  <c r="Y12" i="2"/>
  <c r="E130" i="2" s="1"/>
  <c r="Y11" i="2"/>
  <c r="N97" i="2" s="1"/>
  <c r="Y10" i="2"/>
  <c r="Q97" i="2" s="1"/>
  <c r="Y9" i="2"/>
  <c r="C97" i="2" s="1"/>
  <c r="Y8" i="2"/>
  <c r="I97" i="2" s="1"/>
  <c r="Y7" i="2"/>
  <c r="H97" i="2" s="1"/>
  <c r="Y6" i="2"/>
  <c r="W97" i="2" s="1"/>
  <c r="Y5" i="2"/>
  <c r="P97" i="2" s="1"/>
  <c r="Y4" i="2"/>
  <c r="A149" i="2" s="1"/>
  <c r="Y3" i="2"/>
  <c r="G130" i="2" s="1"/>
  <c r="Y2" i="2"/>
  <c r="R130" i="2" s="1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23" i="12"/>
  <c r="O22" i="12"/>
  <c r="O21" i="12"/>
  <c r="O20" i="12"/>
  <c r="O19" i="12"/>
  <c r="O18" i="12"/>
  <c r="O17" i="12"/>
  <c r="O16" i="12"/>
  <c r="O15" i="12"/>
  <c r="O13" i="12"/>
  <c r="O12" i="12"/>
  <c r="O11" i="12"/>
  <c r="O10" i="12"/>
  <c r="O9" i="12"/>
  <c r="O8" i="12"/>
  <c r="O7" i="12"/>
  <c r="O6" i="12"/>
  <c r="O5" i="12"/>
  <c r="O3" i="12"/>
  <c r="O2" i="12"/>
  <c r="O24" i="11"/>
  <c r="O23" i="11"/>
  <c r="AC23" i="11" s="1"/>
  <c r="A35" i="11" s="1"/>
  <c r="O22" i="11"/>
  <c r="O21" i="11"/>
  <c r="O20" i="11"/>
  <c r="AC20" i="11" s="1"/>
  <c r="A36" i="11" s="1"/>
  <c r="O19" i="11"/>
  <c r="O18" i="11"/>
  <c r="AC18" i="11" s="1"/>
  <c r="A46" i="11" s="1"/>
  <c r="O17" i="11"/>
  <c r="O16" i="11"/>
  <c r="O15" i="11"/>
  <c r="O14" i="11"/>
  <c r="AC14" i="11" s="1"/>
  <c r="A37" i="11" s="1"/>
  <c r="O13" i="11"/>
  <c r="AC13" i="11" s="1"/>
  <c r="A40" i="11" s="1"/>
  <c r="O12" i="11"/>
  <c r="O11" i="11"/>
  <c r="O10" i="11"/>
  <c r="O9" i="11"/>
  <c r="O8" i="11"/>
  <c r="AC8" i="11" s="1"/>
  <c r="A34" i="11" s="1"/>
  <c r="O7" i="11"/>
  <c r="O6" i="11"/>
  <c r="AC6" i="11" s="1"/>
  <c r="A48" i="11" s="1"/>
  <c r="O5" i="11"/>
  <c r="O4" i="11"/>
  <c r="O3" i="11"/>
  <c r="AC3" i="11" s="1"/>
  <c r="A32" i="11" s="1"/>
  <c r="O2" i="11"/>
  <c r="AC2" i="11" s="1"/>
  <c r="A43" i="11" s="1"/>
  <c r="O24" i="10"/>
  <c r="O23" i="10"/>
  <c r="AC23" i="10" s="1"/>
  <c r="A35" i="10" s="1"/>
  <c r="O22" i="10"/>
  <c r="O21" i="10"/>
  <c r="O20" i="10"/>
  <c r="AC20" i="10" s="1"/>
  <c r="A36" i="10" s="1"/>
  <c r="O19" i="10"/>
  <c r="O18" i="10"/>
  <c r="AC18" i="10" s="1"/>
  <c r="A46" i="10" s="1"/>
  <c r="O17" i="10"/>
  <c r="O16" i="10"/>
  <c r="O15" i="10"/>
  <c r="O14" i="10"/>
  <c r="O13" i="10"/>
  <c r="AC13" i="10" s="1"/>
  <c r="A40" i="10" s="1"/>
  <c r="O12" i="10"/>
  <c r="O11" i="10"/>
  <c r="O10" i="10"/>
  <c r="AC10" i="10" s="1"/>
  <c r="A42" i="10" s="1"/>
  <c r="O9" i="10"/>
  <c r="O8" i="10"/>
  <c r="O7" i="10"/>
  <c r="O6" i="10"/>
  <c r="AC6" i="10" s="1"/>
  <c r="A48" i="10" s="1"/>
  <c r="O5" i="10"/>
  <c r="O4" i="10"/>
  <c r="O3" i="10"/>
  <c r="O2" i="10"/>
  <c r="O24" i="9"/>
  <c r="O23" i="9"/>
  <c r="AC23" i="9" s="1"/>
  <c r="A35" i="9" s="1"/>
  <c r="O22" i="9"/>
  <c r="O21" i="9"/>
  <c r="O20" i="9"/>
  <c r="AC20" i="9" s="1"/>
  <c r="A36" i="9" s="1"/>
  <c r="O19" i="9"/>
  <c r="O18" i="9"/>
  <c r="AC18" i="9" s="1"/>
  <c r="A46" i="9" s="1"/>
  <c r="O17" i="9"/>
  <c r="O16" i="9"/>
  <c r="O15" i="9"/>
  <c r="O14" i="9"/>
  <c r="AC14" i="9" s="1"/>
  <c r="A37" i="9" s="1"/>
  <c r="O13" i="9"/>
  <c r="AC13" i="9" s="1"/>
  <c r="A40" i="9" s="1"/>
  <c r="O12" i="9"/>
  <c r="O11" i="9"/>
  <c r="AC11" i="9" s="1"/>
  <c r="A39" i="9" s="1"/>
  <c r="O10" i="9"/>
  <c r="O9" i="9"/>
  <c r="O8" i="9"/>
  <c r="AC8" i="9" s="1"/>
  <c r="A34" i="9" s="1"/>
  <c r="O7" i="9"/>
  <c r="O6" i="9"/>
  <c r="AC6" i="9" s="1"/>
  <c r="A48" i="9" s="1"/>
  <c r="O5" i="9"/>
  <c r="O4" i="9"/>
  <c r="O3" i="9"/>
  <c r="O2" i="9"/>
  <c r="O24" i="8"/>
  <c r="O23" i="8"/>
  <c r="AC23" i="8" s="1"/>
  <c r="A35" i="8" s="1"/>
  <c r="O22" i="8"/>
  <c r="O21" i="8"/>
  <c r="O20" i="8"/>
  <c r="AC20" i="8" s="1"/>
  <c r="A36" i="8" s="1"/>
  <c r="O19" i="8"/>
  <c r="O18" i="8"/>
  <c r="AC18" i="8" s="1"/>
  <c r="A46" i="8" s="1"/>
  <c r="O17" i="8"/>
  <c r="O16" i="8"/>
  <c r="O15" i="8"/>
  <c r="O14" i="8"/>
  <c r="O13" i="8"/>
  <c r="AC13" i="8" s="1"/>
  <c r="A40" i="8" s="1"/>
  <c r="O12" i="8"/>
  <c r="O11" i="8"/>
  <c r="AC11" i="8" s="1"/>
  <c r="A39" i="8" s="1"/>
  <c r="O10" i="8"/>
  <c r="O9" i="8"/>
  <c r="O8" i="8"/>
  <c r="AC8" i="8" s="1"/>
  <c r="A34" i="8" s="1"/>
  <c r="O7" i="8"/>
  <c r="O6" i="8"/>
  <c r="O5" i="8"/>
  <c r="O4" i="8"/>
  <c r="O3" i="8"/>
  <c r="AC3" i="8" s="1"/>
  <c r="A32" i="8" s="1"/>
  <c r="O2" i="8"/>
  <c r="O24" i="7"/>
  <c r="O23" i="7"/>
  <c r="AC23" i="7" s="1"/>
  <c r="A35" i="7" s="1"/>
  <c r="O22" i="7"/>
  <c r="O21" i="7"/>
  <c r="O20" i="7"/>
  <c r="AC20" i="7" s="1"/>
  <c r="A36" i="7" s="1"/>
  <c r="O19" i="7"/>
  <c r="O18" i="7"/>
  <c r="AC18" i="7" s="1"/>
  <c r="A46" i="7" s="1"/>
  <c r="O17" i="7"/>
  <c r="O16" i="7"/>
  <c r="O15" i="7"/>
  <c r="O14" i="7"/>
  <c r="O13" i="7"/>
  <c r="O12" i="7"/>
  <c r="AC12" i="7" s="1"/>
  <c r="A30" i="7" s="1"/>
  <c r="O11" i="7"/>
  <c r="AC11" i="7" s="1"/>
  <c r="A39" i="7" s="1"/>
  <c r="O10" i="7"/>
  <c r="O9" i="7"/>
  <c r="AC9" i="7" s="1"/>
  <c r="A28" i="7" s="1"/>
  <c r="O8" i="7"/>
  <c r="AC8" i="7" s="1"/>
  <c r="A34" i="7" s="1"/>
  <c r="O7" i="7"/>
  <c r="O6" i="7"/>
  <c r="O5" i="7"/>
  <c r="O4" i="7"/>
  <c r="O3" i="7"/>
  <c r="AC3" i="7" s="1"/>
  <c r="A32" i="7" s="1"/>
  <c r="O2" i="7"/>
  <c r="AC2" i="7" s="1"/>
  <c r="A43" i="7" s="1"/>
  <c r="O24" i="6"/>
  <c r="O23" i="6"/>
  <c r="O22" i="6"/>
  <c r="O21" i="6"/>
  <c r="O20" i="6"/>
  <c r="O19" i="6"/>
  <c r="O18" i="6"/>
  <c r="AC18" i="6" s="1"/>
  <c r="A46" i="6" s="1"/>
  <c r="O17" i="6"/>
  <c r="O16" i="6"/>
  <c r="O15" i="6"/>
  <c r="O14" i="6"/>
  <c r="O13" i="6"/>
  <c r="AC13" i="6" s="1"/>
  <c r="A40" i="6" s="1"/>
  <c r="O12" i="6"/>
  <c r="O11" i="6"/>
  <c r="AC11" i="6" s="1"/>
  <c r="A39" i="6" s="1"/>
  <c r="O10" i="6"/>
  <c r="O9" i="6"/>
  <c r="AC9" i="6" s="1"/>
  <c r="A28" i="6" s="1"/>
  <c r="O8" i="6"/>
  <c r="O7" i="6"/>
  <c r="O6" i="6"/>
  <c r="O5" i="6"/>
  <c r="O4" i="6"/>
  <c r="O3" i="6"/>
  <c r="O2" i="6"/>
  <c r="O24" i="5"/>
  <c r="O23" i="5"/>
  <c r="AC23" i="5" s="1"/>
  <c r="A35" i="5" s="1"/>
  <c r="O22" i="5"/>
  <c r="O21" i="5"/>
  <c r="O20" i="5"/>
  <c r="AC20" i="5" s="1"/>
  <c r="A36" i="5" s="1"/>
  <c r="O19" i="5"/>
  <c r="O18" i="5"/>
  <c r="AC18" i="5" s="1"/>
  <c r="A46" i="5" s="1"/>
  <c r="O17" i="5"/>
  <c r="O16" i="5"/>
  <c r="O15" i="5"/>
  <c r="O14" i="5"/>
  <c r="O13" i="5"/>
  <c r="AC13" i="5" s="1"/>
  <c r="A40" i="5" s="1"/>
  <c r="O12" i="5"/>
  <c r="AC12" i="5" s="1"/>
  <c r="A30" i="5" s="1"/>
  <c r="O11" i="5"/>
  <c r="O10" i="5"/>
  <c r="O9" i="5"/>
  <c r="AC9" i="5" s="1"/>
  <c r="A28" i="5" s="1"/>
  <c r="O8" i="5"/>
  <c r="O7" i="5"/>
  <c r="O6" i="5"/>
  <c r="O5" i="5"/>
  <c r="O4" i="5"/>
  <c r="O3" i="5"/>
  <c r="O2" i="5"/>
  <c r="O24" i="4"/>
  <c r="O23" i="4"/>
  <c r="AC23" i="4" s="1"/>
  <c r="A35" i="4" s="1"/>
  <c r="O22" i="4"/>
  <c r="O21" i="4"/>
  <c r="O20" i="4"/>
  <c r="AC20" i="4" s="1"/>
  <c r="A36" i="4" s="1"/>
  <c r="O19" i="4"/>
  <c r="O18" i="4"/>
  <c r="AC18" i="4" s="1"/>
  <c r="A46" i="4" s="1"/>
  <c r="O17" i="4"/>
  <c r="O16" i="4"/>
  <c r="O15" i="4"/>
  <c r="O14" i="4"/>
  <c r="O13" i="4"/>
  <c r="AC13" i="4" s="1"/>
  <c r="A40" i="4" s="1"/>
  <c r="O12" i="4"/>
  <c r="O11" i="4"/>
  <c r="AC11" i="4" s="1"/>
  <c r="A39" i="4" s="1"/>
  <c r="O10" i="4"/>
  <c r="O9" i="4"/>
  <c r="AC9" i="4" s="1"/>
  <c r="A28" i="4" s="1"/>
  <c r="O8" i="4"/>
  <c r="AC8" i="4" s="1"/>
  <c r="A34" i="4" s="1"/>
  <c r="O7" i="4"/>
  <c r="O6" i="4"/>
  <c r="AC6" i="4" s="1"/>
  <c r="A48" i="4" s="1"/>
  <c r="O5" i="4"/>
  <c r="O4" i="4"/>
  <c r="O3" i="4"/>
  <c r="O2" i="4"/>
  <c r="O24" i="3"/>
  <c r="O23" i="3"/>
  <c r="AC23" i="3" s="1"/>
  <c r="A35" i="3" s="1"/>
  <c r="O22" i="3"/>
  <c r="O21" i="3"/>
  <c r="O20" i="3"/>
  <c r="AC20" i="3" s="1"/>
  <c r="A36" i="3" s="1"/>
  <c r="O19" i="3"/>
  <c r="O18" i="3"/>
  <c r="AC18" i="3" s="1"/>
  <c r="A46" i="3" s="1"/>
  <c r="O17" i="3"/>
  <c r="O16" i="3"/>
  <c r="O15" i="3"/>
  <c r="O14" i="3"/>
  <c r="O13" i="3"/>
  <c r="AC13" i="3" s="1"/>
  <c r="A40" i="3" s="1"/>
  <c r="O12" i="3"/>
  <c r="O11" i="3"/>
  <c r="AC11" i="3" s="1"/>
  <c r="A39" i="3" s="1"/>
  <c r="O10" i="3"/>
  <c r="O9" i="3"/>
  <c r="O8" i="3"/>
  <c r="O7" i="3"/>
  <c r="O6" i="3"/>
  <c r="AC6" i="3" s="1"/>
  <c r="A48" i="3" s="1"/>
  <c r="O5" i="3"/>
  <c r="O4" i="3"/>
  <c r="O3" i="3"/>
  <c r="O2" i="3"/>
  <c r="AC2" i="3" s="1"/>
  <c r="A43" i="3" s="1"/>
  <c r="O3" i="2"/>
  <c r="G82" i="2" s="1"/>
  <c r="O4" i="2"/>
  <c r="O5" i="2"/>
  <c r="P82" i="2" s="1"/>
  <c r="O6" i="2"/>
  <c r="W82" i="2" s="1"/>
  <c r="O7" i="2"/>
  <c r="H82" i="2" s="1"/>
  <c r="O8" i="2"/>
  <c r="I82" i="2" s="1"/>
  <c r="O9" i="2"/>
  <c r="C82" i="2" s="1"/>
  <c r="O10" i="2"/>
  <c r="Q82" i="2" s="1"/>
  <c r="O11" i="2"/>
  <c r="N82" i="2" s="1"/>
  <c r="O12" i="2"/>
  <c r="E82" i="2" s="1"/>
  <c r="O13" i="2"/>
  <c r="O82" i="2" s="1"/>
  <c r="O14" i="2"/>
  <c r="L82" i="2" s="1"/>
  <c r="O15" i="2"/>
  <c r="B82" i="2" s="1"/>
  <c r="O16" i="2"/>
  <c r="V82" i="2" s="1"/>
  <c r="O17" i="2"/>
  <c r="T82" i="2" s="1"/>
  <c r="O18" i="2"/>
  <c r="U82" i="2" s="1"/>
  <c r="O19" i="2"/>
  <c r="S82" i="2" s="1"/>
  <c r="O20" i="2"/>
  <c r="K121" i="2" s="1"/>
  <c r="O21" i="2"/>
  <c r="M82" i="2" s="1"/>
  <c r="O22" i="2"/>
  <c r="F82" i="2" s="1"/>
  <c r="O23" i="2"/>
  <c r="J121" i="2" s="1"/>
  <c r="O24" i="2"/>
  <c r="D82" i="2" s="1"/>
  <c r="O2" i="2"/>
  <c r="R82" i="2" s="1"/>
  <c r="B3" i="1"/>
  <c r="C3" i="1"/>
  <c r="D3" i="1"/>
  <c r="E3" i="1"/>
  <c r="F3" i="1"/>
  <c r="G3" i="1"/>
  <c r="H3" i="1"/>
  <c r="I3" i="1"/>
  <c r="J3" i="1"/>
  <c r="K3" i="1"/>
  <c r="L3" i="1"/>
  <c r="M3" i="1"/>
  <c r="N3" i="1"/>
  <c r="P3" i="1"/>
  <c r="Q3" i="1"/>
  <c r="R3" i="1"/>
  <c r="S3" i="1"/>
  <c r="T3" i="1"/>
  <c r="U3" i="1"/>
  <c r="V3" i="1"/>
  <c r="W3" i="1"/>
  <c r="X3" i="1"/>
  <c r="Z3" i="1"/>
  <c r="B4" i="1"/>
  <c r="C4" i="1"/>
  <c r="D4" i="1"/>
  <c r="E4" i="1"/>
  <c r="F4" i="1"/>
  <c r="G4" i="1"/>
  <c r="H4" i="1"/>
  <c r="I4" i="1"/>
  <c r="J4" i="1"/>
  <c r="K4" i="1"/>
  <c r="L4" i="1"/>
  <c r="M4" i="1"/>
  <c r="N4" i="1"/>
  <c r="P4" i="1"/>
  <c r="Q4" i="1"/>
  <c r="R4" i="1"/>
  <c r="S4" i="1"/>
  <c r="T4" i="1"/>
  <c r="U4" i="1"/>
  <c r="V4" i="1"/>
  <c r="W4" i="1"/>
  <c r="X4" i="1"/>
  <c r="Z4" i="1"/>
  <c r="B5" i="1"/>
  <c r="C5" i="1"/>
  <c r="D5" i="1"/>
  <c r="E5" i="1"/>
  <c r="F5" i="1"/>
  <c r="G5" i="1"/>
  <c r="H5" i="1"/>
  <c r="I5" i="1"/>
  <c r="J5" i="1"/>
  <c r="K5" i="1"/>
  <c r="L5" i="1"/>
  <c r="M5" i="1"/>
  <c r="N5" i="1"/>
  <c r="P5" i="1"/>
  <c r="Q5" i="1"/>
  <c r="R5" i="1"/>
  <c r="S5" i="1"/>
  <c r="T5" i="1"/>
  <c r="U5" i="1"/>
  <c r="V5" i="1"/>
  <c r="W5" i="1"/>
  <c r="X5" i="1"/>
  <c r="Z5" i="1"/>
  <c r="B6" i="1"/>
  <c r="C6" i="1"/>
  <c r="D6" i="1"/>
  <c r="E6" i="1"/>
  <c r="F6" i="1"/>
  <c r="G6" i="1"/>
  <c r="H6" i="1"/>
  <c r="I6" i="1"/>
  <c r="J6" i="1"/>
  <c r="K6" i="1"/>
  <c r="L6" i="1"/>
  <c r="M6" i="1"/>
  <c r="N6" i="1"/>
  <c r="P6" i="1"/>
  <c r="Q6" i="1"/>
  <c r="R6" i="1"/>
  <c r="S6" i="1"/>
  <c r="T6" i="1"/>
  <c r="U6" i="1"/>
  <c r="V6" i="1"/>
  <c r="W6" i="1"/>
  <c r="X6" i="1"/>
  <c r="Z6" i="1"/>
  <c r="B7" i="1"/>
  <c r="C7" i="1"/>
  <c r="D7" i="1"/>
  <c r="E7" i="1"/>
  <c r="F7" i="1"/>
  <c r="G7" i="1"/>
  <c r="H7" i="1"/>
  <c r="I7" i="1"/>
  <c r="J7" i="1"/>
  <c r="K7" i="1"/>
  <c r="L7" i="1"/>
  <c r="M7" i="1"/>
  <c r="N7" i="1"/>
  <c r="P7" i="1"/>
  <c r="Q7" i="1"/>
  <c r="R7" i="1"/>
  <c r="S7" i="1"/>
  <c r="T7" i="1"/>
  <c r="U7" i="1"/>
  <c r="V7" i="1"/>
  <c r="W7" i="1"/>
  <c r="X7" i="1"/>
  <c r="Z7" i="1"/>
  <c r="B8" i="1"/>
  <c r="C8" i="1"/>
  <c r="D8" i="1"/>
  <c r="E8" i="1"/>
  <c r="F8" i="1"/>
  <c r="G8" i="1"/>
  <c r="H8" i="1"/>
  <c r="I8" i="1"/>
  <c r="J8" i="1"/>
  <c r="K8" i="1"/>
  <c r="L8" i="1"/>
  <c r="M8" i="1"/>
  <c r="N8" i="1"/>
  <c r="P8" i="1"/>
  <c r="Q8" i="1"/>
  <c r="R8" i="1"/>
  <c r="S8" i="1"/>
  <c r="T8" i="1"/>
  <c r="U8" i="1"/>
  <c r="V8" i="1"/>
  <c r="W8" i="1"/>
  <c r="X8" i="1"/>
  <c r="Z8" i="1"/>
  <c r="B9" i="1"/>
  <c r="C9" i="1"/>
  <c r="D9" i="1"/>
  <c r="E9" i="1"/>
  <c r="F9" i="1"/>
  <c r="G9" i="1"/>
  <c r="H9" i="1"/>
  <c r="I9" i="1"/>
  <c r="J9" i="1"/>
  <c r="K9" i="1"/>
  <c r="L9" i="1"/>
  <c r="M9" i="1"/>
  <c r="N9" i="1"/>
  <c r="P9" i="1"/>
  <c r="Q9" i="1"/>
  <c r="R9" i="1"/>
  <c r="S9" i="1"/>
  <c r="T9" i="1"/>
  <c r="U9" i="1"/>
  <c r="V9" i="1"/>
  <c r="W9" i="1"/>
  <c r="X9" i="1"/>
  <c r="Z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P10" i="1"/>
  <c r="Q10" i="1"/>
  <c r="R10" i="1"/>
  <c r="S10" i="1"/>
  <c r="T10" i="1"/>
  <c r="U10" i="1"/>
  <c r="V10" i="1"/>
  <c r="W10" i="1"/>
  <c r="X10" i="1"/>
  <c r="Z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P11" i="1"/>
  <c r="Q11" i="1"/>
  <c r="R11" i="1"/>
  <c r="S11" i="1"/>
  <c r="T11" i="1"/>
  <c r="U11" i="1"/>
  <c r="V11" i="1"/>
  <c r="W11" i="1"/>
  <c r="X11" i="1"/>
  <c r="Z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P12" i="1"/>
  <c r="Q12" i="1"/>
  <c r="R12" i="1"/>
  <c r="S12" i="1"/>
  <c r="T12" i="1"/>
  <c r="U12" i="1"/>
  <c r="V12" i="1"/>
  <c r="W12" i="1"/>
  <c r="X12" i="1"/>
  <c r="Z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P13" i="1"/>
  <c r="Q13" i="1"/>
  <c r="R13" i="1"/>
  <c r="S13" i="1"/>
  <c r="T13" i="1"/>
  <c r="U13" i="1"/>
  <c r="V13" i="1"/>
  <c r="W13" i="1"/>
  <c r="X13" i="1"/>
  <c r="Z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P14" i="1"/>
  <c r="Q14" i="1"/>
  <c r="R14" i="1"/>
  <c r="S14" i="1"/>
  <c r="T14" i="1"/>
  <c r="U14" i="1"/>
  <c r="V14" i="1"/>
  <c r="W14" i="1"/>
  <c r="X14" i="1"/>
  <c r="Z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P15" i="1"/>
  <c r="Q15" i="1"/>
  <c r="R15" i="1"/>
  <c r="S15" i="1"/>
  <c r="T15" i="1"/>
  <c r="U15" i="1"/>
  <c r="V15" i="1"/>
  <c r="W15" i="1"/>
  <c r="X15" i="1"/>
  <c r="Z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P16" i="1"/>
  <c r="Q16" i="1"/>
  <c r="R16" i="1"/>
  <c r="S16" i="1"/>
  <c r="T16" i="1"/>
  <c r="U16" i="1"/>
  <c r="V16" i="1"/>
  <c r="W16" i="1"/>
  <c r="X16" i="1"/>
  <c r="Z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P17" i="1"/>
  <c r="Q17" i="1"/>
  <c r="R17" i="1"/>
  <c r="S17" i="1"/>
  <c r="T17" i="1"/>
  <c r="U17" i="1"/>
  <c r="V17" i="1"/>
  <c r="W17" i="1"/>
  <c r="X17" i="1"/>
  <c r="Z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P18" i="1"/>
  <c r="Q18" i="1"/>
  <c r="R18" i="1"/>
  <c r="S18" i="1"/>
  <c r="T18" i="1"/>
  <c r="U18" i="1"/>
  <c r="V18" i="1"/>
  <c r="W18" i="1"/>
  <c r="X18" i="1"/>
  <c r="Z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P19" i="1"/>
  <c r="Q19" i="1"/>
  <c r="R19" i="1"/>
  <c r="S19" i="1"/>
  <c r="T19" i="1"/>
  <c r="U19" i="1"/>
  <c r="V19" i="1"/>
  <c r="W19" i="1"/>
  <c r="X19" i="1"/>
  <c r="Z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P20" i="1"/>
  <c r="Q20" i="1"/>
  <c r="R20" i="1"/>
  <c r="S20" i="1"/>
  <c r="T20" i="1"/>
  <c r="U20" i="1"/>
  <c r="V20" i="1"/>
  <c r="W20" i="1"/>
  <c r="X20" i="1"/>
  <c r="Z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P21" i="1"/>
  <c r="Q21" i="1"/>
  <c r="R21" i="1"/>
  <c r="S21" i="1"/>
  <c r="T21" i="1"/>
  <c r="U21" i="1"/>
  <c r="V21" i="1"/>
  <c r="W21" i="1"/>
  <c r="X21" i="1"/>
  <c r="Z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P22" i="1"/>
  <c r="Q22" i="1"/>
  <c r="R22" i="1"/>
  <c r="S22" i="1"/>
  <c r="T22" i="1"/>
  <c r="U22" i="1"/>
  <c r="V22" i="1"/>
  <c r="W22" i="1"/>
  <c r="X22" i="1"/>
  <c r="Z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P23" i="1"/>
  <c r="Q23" i="1"/>
  <c r="R23" i="1"/>
  <c r="S23" i="1"/>
  <c r="T23" i="1"/>
  <c r="U23" i="1"/>
  <c r="V23" i="1"/>
  <c r="W23" i="1"/>
  <c r="X23" i="1"/>
  <c r="Z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P24" i="1"/>
  <c r="Q24" i="1"/>
  <c r="R24" i="1"/>
  <c r="S24" i="1"/>
  <c r="T24" i="1"/>
  <c r="U24" i="1"/>
  <c r="V24" i="1"/>
  <c r="W24" i="1"/>
  <c r="X24" i="1"/>
  <c r="Z24" i="1"/>
  <c r="Z2" i="1"/>
  <c r="X2" i="1"/>
  <c r="W2" i="1"/>
  <c r="V2" i="1"/>
  <c r="U2" i="1"/>
  <c r="T2" i="1"/>
  <c r="S2" i="1"/>
  <c r="R2" i="1"/>
  <c r="Q2" i="1"/>
  <c r="P2" i="1"/>
  <c r="N2" i="1"/>
  <c r="M2" i="1"/>
  <c r="L2" i="1"/>
  <c r="K2" i="1"/>
  <c r="J2" i="1"/>
  <c r="I2" i="1"/>
  <c r="H2" i="1"/>
  <c r="G2" i="1"/>
  <c r="F2" i="1"/>
  <c r="E2" i="1"/>
  <c r="D2" i="1"/>
  <c r="C2" i="1"/>
  <c r="B2" i="1"/>
  <c r="C121" i="2" l="1"/>
  <c r="A82" i="2"/>
  <c r="AT4" i="2"/>
  <c r="A50" i="2" s="1"/>
  <c r="AT20" i="2"/>
  <c r="A60" i="2" s="1"/>
  <c r="S121" i="2"/>
  <c r="S130" i="2"/>
  <c r="V121" i="2"/>
  <c r="T130" i="2"/>
  <c r="L121" i="2"/>
  <c r="AT19" i="2"/>
  <c r="A68" i="2" s="1"/>
  <c r="F121" i="2"/>
  <c r="N121" i="2"/>
  <c r="W130" i="2"/>
  <c r="J130" i="2"/>
  <c r="I121" i="2"/>
  <c r="E121" i="2"/>
  <c r="I130" i="2"/>
  <c r="Q130" i="2"/>
  <c r="U121" i="2"/>
  <c r="Q121" i="2"/>
  <c r="F130" i="2"/>
  <c r="N130" i="2"/>
  <c r="R121" i="2"/>
  <c r="M121" i="2"/>
  <c r="H121" i="2"/>
  <c r="P121" i="2"/>
  <c r="D130" i="2"/>
  <c r="A130" i="2"/>
  <c r="B121" i="2"/>
  <c r="H130" i="2"/>
  <c r="P130" i="2"/>
  <c r="T121" i="2"/>
  <c r="M130" i="2"/>
  <c r="AC20" i="2"/>
  <c r="G121" i="2"/>
  <c r="O121" i="2"/>
  <c r="D121" i="2"/>
  <c r="C130" i="2"/>
  <c r="K130" i="2"/>
  <c r="W121" i="2"/>
  <c r="AT14" i="2"/>
  <c r="A61" i="2" s="1"/>
  <c r="AT15" i="2"/>
  <c r="A51" i="2" s="1"/>
  <c r="AT2" i="2"/>
  <c r="A67" i="2" s="1"/>
  <c r="AT18" i="2"/>
  <c r="A70" i="2" s="1"/>
  <c r="AT3" i="2"/>
  <c r="A56" i="2" s="1"/>
  <c r="AT12" i="2"/>
  <c r="A54" i="2" s="1"/>
  <c r="AT16" i="2"/>
  <c r="A71" i="2" s="1"/>
  <c r="AT17" i="2"/>
  <c r="A69" i="2" s="1"/>
  <c r="AT8" i="2"/>
  <c r="A58" i="2" s="1"/>
  <c r="AT23" i="2"/>
  <c r="A59" i="2" s="1"/>
  <c r="AC24" i="2"/>
  <c r="A29" i="2" s="1"/>
  <c r="AT24" i="2"/>
  <c r="A53" i="2" s="1"/>
  <c r="AT13" i="2"/>
  <c r="A64" i="2" s="1"/>
  <c r="AT22" i="2"/>
  <c r="A55" i="2" s="1"/>
  <c r="AT6" i="2"/>
  <c r="A72" i="2" s="1"/>
  <c r="AA15" i="1"/>
  <c r="AC23" i="2"/>
  <c r="A35" i="2" s="1"/>
  <c r="AT7" i="2"/>
  <c r="A57" i="2" s="1"/>
  <c r="AT21" i="2"/>
  <c r="A62" i="2" s="1"/>
  <c r="A97" i="2"/>
  <c r="B97" i="2"/>
  <c r="R97" i="2"/>
  <c r="E97" i="2"/>
  <c r="U97" i="2"/>
  <c r="AT5" i="2"/>
  <c r="A65" i="2" s="1"/>
  <c r="J82" i="2"/>
  <c r="V97" i="2"/>
  <c r="K82" i="2"/>
  <c r="G97" i="2"/>
  <c r="M78" i="2"/>
  <c r="K97" i="2"/>
  <c r="L97" i="2"/>
  <c r="O97" i="2"/>
  <c r="AT4" i="12"/>
  <c r="A50" i="12" s="1"/>
  <c r="AC4" i="12"/>
  <c r="A26" i="12" s="1"/>
  <c r="AT16" i="12"/>
  <c r="A71" i="12" s="1"/>
  <c r="AT2" i="12"/>
  <c r="A67" i="12" s="1"/>
  <c r="AT18" i="12"/>
  <c r="A70" i="12" s="1"/>
  <c r="AC18" i="12"/>
  <c r="A46" i="12" s="1"/>
  <c r="AT22" i="12"/>
  <c r="AC19" i="12"/>
  <c r="A44" i="12" s="1"/>
  <c r="AT9" i="12"/>
  <c r="A52" i="12" s="1"/>
  <c r="AA19" i="1"/>
  <c r="AA21" i="1"/>
  <c r="Y5" i="1"/>
  <c r="Y14" i="1"/>
  <c r="Y21" i="1"/>
  <c r="AA14" i="1"/>
  <c r="AT5" i="12"/>
  <c r="A65" i="12" s="1"/>
  <c r="AT12" i="12"/>
  <c r="A54" i="12" s="1"/>
  <c r="AT13" i="12"/>
  <c r="A64" i="12" s="1"/>
  <c r="AA7" i="1"/>
  <c r="AA16" i="1"/>
  <c r="AA10" i="1"/>
  <c r="Y7" i="1"/>
  <c r="AT15" i="12"/>
  <c r="A51" i="12" s="1"/>
  <c r="AC5" i="12"/>
  <c r="A41" i="12" s="1"/>
  <c r="AC9" i="12"/>
  <c r="A28" i="12" s="1"/>
  <c r="AT17" i="12"/>
  <c r="A69" i="12" s="1"/>
  <c r="AC21" i="12"/>
  <c r="A38" i="12" s="1"/>
  <c r="Y16" i="1"/>
  <c r="AT7" i="12"/>
  <c r="A57" i="12" s="1"/>
  <c r="AC7" i="12"/>
  <c r="A33" i="12" s="1"/>
  <c r="AT10" i="12"/>
  <c r="A66" i="12" s="1"/>
  <c r="AT11" i="12"/>
  <c r="A63" i="12" s="1"/>
  <c r="AC10" i="12"/>
  <c r="A42" i="12" s="1"/>
  <c r="AA17" i="1"/>
  <c r="AA4" i="1"/>
  <c r="AT3" i="12"/>
  <c r="A56" i="12" s="1"/>
  <c r="AC13" i="12"/>
  <c r="A40" i="12" s="1"/>
  <c r="AA5" i="1"/>
  <c r="AC16" i="12"/>
  <c r="A47" i="12" s="1"/>
  <c r="AC17" i="12"/>
  <c r="A45" i="12" s="1"/>
  <c r="AT19" i="12"/>
  <c r="A68" i="12" s="1"/>
  <c r="AC11" i="12"/>
  <c r="A39" i="12" s="1"/>
  <c r="O15" i="1"/>
  <c r="AC15" i="12"/>
  <c r="A27" i="12" s="1"/>
  <c r="AA22" i="1"/>
  <c r="AA6" i="1"/>
  <c r="AT21" i="12"/>
  <c r="A62" i="12" s="1"/>
  <c r="AC12" i="12"/>
  <c r="A30" i="12" s="1"/>
  <c r="Y22" i="1"/>
  <c r="AA24" i="1"/>
  <c r="Y15" i="1"/>
  <c r="O22" i="1"/>
  <c r="Y6" i="1"/>
  <c r="O17" i="1"/>
  <c r="O19" i="1"/>
  <c r="AT20" i="12"/>
  <c r="A60" i="12" s="1"/>
  <c r="AC3" i="12"/>
  <c r="A32" i="12" s="1"/>
  <c r="O21" i="1"/>
  <c r="O5" i="1"/>
  <c r="AC20" i="12"/>
  <c r="A36" i="12" s="1"/>
  <c r="AT6" i="12"/>
  <c r="A72" i="12" s="1"/>
  <c r="O10" i="1"/>
  <c r="Y17" i="1"/>
  <c r="O16" i="1"/>
  <c r="O4" i="1"/>
  <c r="AC23" i="12"/>
  <c r="A35" i="12" s="1"/>
  <c r="AT23" i="12"/>
  <c r="A59" i="12" s="1"/>
  <c r="Y10" i="1"/>
  <c r="AC8" i="12"/>
  <c r="A34" i="12" s="1"/>
  <c r="O24" i="1"/>
  <c r="AC22" i="12"/>
  <c r="A31" i="12" s="1"/>
  <c r="O7" i="1"/>
  <c r="AT8" i="12"/>
  <c r="A58" i="12" s="1"/>
  <c r="Y19" i="1"/>
  <c r="AT19" i="1" s="1"/>
  <c r="A68" i="1" s="1"/>
  <c r="O14" i="1"/>
  <c r="Y24" i="1"/>
  <c r="AC6" i="12"/>
  <c r="A48" i="12" s="1"/>
  <c r="AC2" i="12"/>
  <c r="A43" i="12" s="1"/>
  <c r="AA2" i="1"/>
  <c r="AC2" i="10"/>
  <c r="A43" i="10" s="1"/>
  <c r="AT2" i="9"/>
  <c r="A67" i="9" s="1"/>
  <c r="AA8" i="1"/>
  <c r="AC2" i="8"/>
  <c r="A43" i="8" s="1"/>
  <c r="Y2" i="1"/>
  <c r="AT8" i="5"/>
  <c r="A58" i="5" s="1"/>
  <c r="AC8" i="5"/>
  <c r="A34" i="5" s="1"/>
  <c r="Y8" i="1"/>
  <c r="O8" i="1"/>
  <c r="AT3" i="4"/>
  <c r="A56" i="4" s="1"/>
  <c r="AC3" i="4"/>
  <c r="A32" i="4" s="1"/>
  <c r="Y18" i="1"/>
  <c r="AA13" i="1"/>
  <c r="Y13" i="1"/>
  <c r="AC3" i="3"/>
  <c r="A32" i="3" s="1"/>
  <c r="O23" i="1"/>
  <c r="AA23" i="1"/>
  <c r="Y23" i="1"/>
  <c r="AA3" i="1"/>
  <c r="AA20" i="1"/>
  <c r="AA18" i="1"/>
  <c r="AA12" i="1"/>
  <c r="AA11" i="1"/>
  <c r="AA9" i="1"/>
  <c r="Y20" i="1"/>
  <c r="O18" i="1"/>
  <c r="O11" i="1"/>
  <c r="O9" i="1"/>
  <c r="Y3" i="1"/>
  <c r="O3" i="1"/>
  <c r="AT9" i="2"/>
  <c r="A52" i="2" s="1"/>
  <c r="AT10" i="2"/>
  <c r="A66" i="2" s="1"/>
  <c r="AT11" i="2"/>
  <c r="A63" i="2" s="1"/>
  <c r="O2" i="1"/>
  <c r="Y12" i="1"/>
  <c r="O20" i="1"/>
  <c r="AC20" i="1" s="1"/>
  <c r="A36" i="1" s="1"/>
  <c r="O13" i="1"/>
  <c r="O6" i="1"/>
  <c r="Y9" i="1"/>
  <c r="Y11" i="1"/>
  <c r="Y4" i="1"/>
  <c r="O12" i="1"/>
  <c r="AC22" i="2"/>
  <c r="A31" i="2" s="1"/>
  <c r="AC21" i="2"/>
  <c r="A38" i="2" s="1"/>
  <c r="AT11" i="1" l="1"/>
  <c r="A63" i="1" s="1"/>
  <c r="AT15" i="1"/>
  <c r="A51" i="1" s="1"/>
  <c r="AC14" i="1"/>
  <c r="A37" i="1" s="1"/>
  <c r="A55" i="12"/>
  <c r="AC19" i="1"/>
  <c r="A44" i="1" s="1"/>
  <c r="AT13" i="1"/>
  <c r="A64" i="1" s="1"/>
  <c r="AT6" i="1"/>
  <c r="A72" i="1" s="1"/>
  <c r="AT5" i="1"/>
  <c r="A65" i="1" s="1"/>
  <c r="AT7" i="1"/>
  <c r="A57" i="1" s="1"/>
  <c r="AC22" i="1"/>
  <c r="A31" i="1" s="1"/>
  <c r="AT17" i="1"/>
  <c r="A69" i="1" s="1"/>
  <c r="AC12" i="1"/>
  <c r="A30" i="1" s="1"/>
  <c r="AT4" i="1"/>
  <c r="A50" i="1" s="1"/>
  <c r="AC21" i="1"/>
  <c r="A38" i="1" s="1"/>
  <c r="AT16" i="1"/>
  <c r="A71" i="1" s="1"/>
  <c r="AC24" i="1"/>
  <c r="A29" i="1" s="1"/>
  <c r="AC17" i="1"/>
  <c r="A45" i="1" s="1"/>
  <c r="AT2" i="1"/>
  <c r="A67" i="1" s="1"/>
  <c r="AC10" i="1"/>
  <c r="A42" i="1" s="1"/>
  <c r="AT22" i="1"/>
  <c r="A55" i="1" s="1"/>
  <c r="AC6" i="1"/>
  <c r="A48" i="1" s="1"/>
  <c r="AC2" i="1"/>
  <c r="A43" i="1" s="1"/>
  <c r="AT12" i="1"/>
  <c r="A54" i="1" s="1"/>
  <c r="AT8" i="1"/>
  <c r="A58" i="1" s="1"/>
  <c r="AT23" i="1"/>
  <c r="A59" i="1" s="1"/>
  <c r="AC13" i="1"/>
  <c r="A40" i="1" s="1"/>
  <c r="AT18" i="1"/>
  <c r="A70" i="1" s="1"/>
  <c r="AT20" i="1"/>
  <c r="A60" i="1" s="1"/>
  <c r="AC3" i="1"/>
  <c r="A32" i="1" s="1"/>
  <c r="AC9" i="1"/>
  <c r="A28" i="1" s="1"/>
  <c r="AC18" i="1"/>
  <c r="A46" i="1" s="1"/>
  <c r="AC4" i="1"/>
  <c r="A26" i="1" s="1"/>
  <c r="AC16" i="1"/>
  <c r="A47" i="1" s="1"/>
  <c r="AC23" i="1"/>
  <c r="A35" i="1" s="1"/>
  <c r="AT21" i="1"/>
  <c r="A62" i="1" s="1"/>
  <c r="AC15" i="1"/>
  <c r="A27" i="1" s="1"/>
  <c r="AT10" i="1"/>
  <c r="A66" i="1" s="1"/>
  <c r="AT24" i="1"/>
  <c r="A53" i="1" s="1"/>
  <c r="AC7" i="1"/>
  <c r="A33" i="1" s="1"/>
  <c r="AT9" i="1"/>
  <c r="A52" i="1" s="1"/>
  <c r="AC8" i="1"/>
  <c r="A34" i="1" s="1"/>
  <c r="AC11" i="1"/>
  <c r="A39" i="1" s="1"/>
  <c r="AT3" i="1"/>
  <c r="A56" i="1" s="1"/>
  <c r="AC5" i="1"/>
  <c r="A41" i="1" s="1"/>
  <c r="AT14" i="1"/>
  <c r="A61" i="1" s="1"/>
  <c r="AC19" i="2"/>
  <c r="A44" i="2" s="1"/>
  <c r="A36" i="2"/>
  <c r="AC18" i="2" l="1"/>
  <c r="A46" i="2" s="1"/>
  <c r="AC17" i="2"/>
  <c r="A45" i="2" s="1"/>
  <c r="AC15" i="2" l="1"/>
  <c r="A27" i="2" s="1"/>
  <c r="AC16" i="2"/>
  <c r="A47" i="2" s="1"/>
  <c r="AC14" i="2" l="1"/>
  <c r="A37" i="2" s="1"/>
  <c r="AC13" i="2"/>
  <c r="A40" i="2" s="1"/>
  <c r="AC11" i="2" l="1"/>
  <c r="A39" i="2" s="1"/>
  <c r="AC12" i="2"/>
  <c r="A30" i="2" s="1"/>
  <c r="AC10" i="2" l="1"/>
  <c r="A42" i="2" s="1"/>
  <c r="AC9" i="2"/>
  <c r="A28" i="2" s="1"/>
  <c r="AC7" i="2" l="1"/>
  <c r="A33" i="2" s="1"/>
  <c r="AC8" i="2"/>
  <c r="A34" i="2" s="1"/>
  <c r="AC6" i="2" l="1"/>
  <c r="A48" i="2" s="1"/>
  <c r="AC3" i="2"/>
  <c r="A32" i="2" s="1"/>
  <c r="AC5" i="2"/>
  <c r="A41" i="2" s="1"/>
  <c r="AC2" i="2" l="1"/>
  <c r="A43" i="2" s="1"/>
  <c r="AC4" i="2"/>
  <c r="A26" i="2" s="1"/>
</calcChain>
</file>

<file path=xl/sharedStrings.xml><?xml version="1.0" encoding="utf-8"?>
<sst xmlns="http://schemas.openxmlformats.org/spreadsheetml/2006/main" count="3867" uniqueCount="58">
  <si>
    <t>Minutes</t>
  </si>
  <si>
    <t>Goals</t>
  </si>
  <si>
    <t>Assists</t>
  </si>
  <si>
    <t>Key Pass</t>
  </si>
  <si>
    <t>Outplay</t>
  </si>
  <si>
    <t>Cross</t>
  </si>
  <si>
    <t>1v1</t>
  </si>
  <si>
    <t>Header</t>
  </si>
  <si>
    <t>SP Earned</t>
  </si>
  <si>
    <t>Shots Off</t>
  </si>
  <si>
    <t>Shots On</t>
  </si>
  <si>
    <t>Off Totals</t>
  </si>
  <si>
    <t>Off A/m</t>
  </si>
  <si>
    <t>Tackle</t>
  </si>
  <si>
    <t>Interception</t>
  </si>
  <si>
    <t>FH Regain</t>
  </si>
  <si>
    <t>Block</t>
  </si>
  <si>
    <t>Clearance</t>
  </si>
  <si>
    <t>Separation</t>
  </si>
  <si>
    <t>Stop FWD</t>
  </si>
  <si>
    <t>Def Totals</t>
  </si>
  <si>
    <t>Def A/m</t>
  </si>
  <si>
    <t>Total Act</t>
  </si>
  <si>
    <t>Total A/m</t>
  </si>
  <si>
    <t>Start CA</t>
  </si>
  <si>
    <t>addy</t>
  </si>
  <si>
    <t>ally</t>
  </si>
  <si>
    <t>ava</t>
  </si>
  <si>
    <t>carson</t>
  </si>
  <si>
    <t>charlie</t>
  </si>
  <si>
    <t>dons</t>
  </si>
  <si>
    <t>droz</t>
  </si>
  <si>
    <t>ella g</t>
  </si>
  <si>
    <t>ella r</t>
  </si>
  <si>
    <t>emma p</t>
  </si>
  <si>
    <t>emma r</t>
  </si>
  <si>
    <t>izzie</t>
  </si>
  <si>
    <t>jo</t>
  </si>
  <si>
    <t>karli</t>
  </si>
  <si>
    <t>kate</t>
  </si>
  <si>
    <t>kayma</t>
  </si>
  <si>
    <t>mia</t>
  </si>
  <si>
    <t>nathalie</t>
  </si>
  <si>
    <t>paige</t>
  </si>
  <si>
    <t>prez</t>
  </si>
  <si>
    <t>reese b</t>
  </si>
  <si>
    <t>rin</t>
  </si>
  <si>
    <t>sadie</t>
  </si>
  <si>
    <t>Offense</t>
  </si>
  <si>
    <t>Defense</t>
  </si>
  <si>
    <t>emma d</t>
  </si>
  <si>
    <t>maggie</t>
  </si>
  <si>
    <t>reese s</t>
  </si>
  <si>
    <t>nat</t>
  </si>
  <si>
    <r>
      <t>stats</t>
    </r>
    <r>
      <rPr>
        <sz val="8"/>
        <color rgb="FF9CDCFE"/>
        <rFont val="Consolas"/>
        <family val="3"/>
      </rPr>
      <t>:</t>
    </r>
    <r>
      <rPr>
        <sz val="8"/>
        <color rgb="FFC9D1D9"/>
        <rFont val="Consolas"/>
        <family val="3"/>
      </rPr>
      <t xml:space="preserve"> {</t>
    </r>
  </si>
  <si>
    <r>
      <t>attacking</t>
    </r>
    <r>
      <rPr>
        <sz val="8"/>
        <color rgb="FF9CDCFE"/>
        <rFont val="Consolas"/>
        <family val="3"/>
      </rPr>
      <t>:</t>
    </r>
    <r>
      <rPr>
        <sz val="8"/>
        <color rgb="FFC9D1D9"/>
        <rFont val="Consolas"/>
        <family val="3"/>
      </rPr>
      <t xml:space="preserve"> {</t>
    </r>
  </si>
  <si>
    <t>},</t>
  </si>
  <si>
    <r>
      <t>defending</t>
    </r>
    <r>
      <rPr>
        <sz val="8"/>
        <color rgb="FF9CDCFE"/>
        <rFont val="Consolas"/>
        <family val="3"/>
      </rPr>
      <t>:</t>
    </r>
    <r>
      <rPr>
        <sz val="8"/>
        <color rgb="FFC9D1D9"/>
        <rFont val="Consolas"/>
        <family val="3"/>
      </rPr>
      <t xml:space="preserve"> {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</si>
</sst>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9D1D9"/>
      <name val="Consolas"/>
      <family val="3"/>
    </font>
    <font>
      <sz val="8"/>
      <color rgb="FF9CDCFE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9625-4CE4-47E4-A3DE-33A088165CF8}">
  <dimension ref="A1:AT72"/>
  <sheetViews>
    <sheetView topLeftCell="A2" workbookViewId="0">
      <selection activeCell="W11" sqref="W11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f>Louisville!B2+SD!B2+ND!B2+Alabama!B2+UNO!B2+KSU!B2+Indiana!B2+Iowa!B2+Washington!B2+MSU!B2+Michigan!B2+Wisconsin!B2+Maryland!B2+Rutgers!B2+Illinois!B2+USC!B2+UCLA!B2+Purdue!B2</f>
        <v>82</v>
      </c>
      <c r="C2">
        <f>Louisville!C2+SD!C2+ND!C2+Alabama!C2+UNO!C2+KSU!C2+Indiana!C2+Iowa!C2+Washington!C2+MSU!C2+Michigan!C2+Wisconsin!C2+Maryland!C2+Rutgers!C2+Illinois!C2+USC!C2+UCLA!C2+Purdue!C2</f>
        <v>0</v>
      </c>
      <c r="D2">
        <f>Louisville!D2+SD!D2+ND!D2+Alabama!D2+UNO!D2+KSU!D2+Indiana!D2+Iowa!D2+Washington!D2+MSU!D2+Michigan!D2+Wisconsin!D2+Maryland!D2+Rutgers!D2+Illinois!D2+USC!D2+UCLA!D2+Purdue!D2</f>
        <v>0</v>
      </c>
      <c r="E2">
        <f>Louisville!E2+SD!E2+ND!E2+Alabama!E2+UNO!E2+KSU!E2+Indiana!E2+Iowa!E2+Washington!E2+MSU!E2+Michigan!E2+Wisconsin!E2+Maryland!E2+Rutgers!E2+Illinois!E2+USC!E2+UCLA!E2+Purdue!E2</f>
        <v>0</v>
      </c>
      <c r="F2">
        <f>Louisville!F2+SD!F2+ND!F2+Alabama!F2+UNO!F2+KSU!F2+Indiana!F2+Iowa!F2+Washington!F2+MSU!F2+Michigan!F2+Wisconsin!F2+Maryland!F2+Rutgers!F2+Illinois!F2+USC!F2+UCLA!F2+Purdue!F2</f>
        <v>6</v>
      </c>
      <c r="G2">
        <f>Louisville!G2+SD!G2+ND!G2+Alabama!G2+UNO!G2+KSU!G2+Indiana!G2+Iowa!G2+Washington!G2+MSU!G2+Michigan!G2+Wisconsin!G2+Maryland!G2+Rutgers!G2+Illinois!G2+USC!G2+UCLA!G2+Purdue!G2</f>
        <v>0</v>
      </c>
      <c r="H2">
        <f>Louisville!H2+SD!H2+ND!H2+Alabama!H2+UNO!H2+KSU!H2+Indiana!H2+Iowa!H2+Washington!H2+MSU!H2+Michigan!H2+Wisconsin!H2+Maryland!H2+Rutgers!H2+Illinois!H2+USC!H2+UCLA!H2+Purdue!H2</f>
        <v>0</v>
      </c>
      <c r="I2">
        <f>Louisville!I2+SD!I2+ND!I2+Alabama!I2+UNO!I2+KSU!I2+Indiana!I2+Iowa!I2+Washington!I2+MSU!I2+Michigan!I2+Wisconsin!I2+Maryland!I2+Rutgers!I2+Illinois!I2+USC!I2+UCLA!I2+Purdue!I2</f>
        <v>1</v>
      </c>
      <c r="J2">
        <f>Louisville!J2+SD!J2+ND!J2+Alabama!J2+UNO!J2+KSU!J2+Indiana!J2+Iowa!J2+Washington!J2+MSU!J2+Michigan!J2+Wisconsin!J2+Maryland!J2+Rutgers!J2+Illinois!J2+USC!J2+UCLA!J2+Purdue!J2</f>
        <v>0</v>
      </c>
      <c r="K2">
        <f>Louisville!K2+SD!K2+ND!K2+Alabama!K2+UNO!K2+KSU!K2+Indiana!K2+Iowa!K2+Washington!K2+MSU!K2+Michigan!K2+Wisconsin!K2+Maryland!K2+Rutgers!K2+Illinois!K2+USC!K2+UCLA!K2+Purdue!K2</f>
        <v>0</v>
      </c>
      <c r="L2">
        <f>Louisville!L2+SD!L2+ND!L2+Alabama!L2+UNO!L2+KSU!L2+Indiana!L2+Iowa!L2+Washington!L2+MSU!L2+Michigan!L2+Wisconsin!L2+Maryland!L2+Rutgers!L2+Illinois!L2+USC!L2+UCLA!L2+Purdue!L2</f>
        <v>0</v>
      </c>
      <c r="M2">
        <f>Louisville!M2+SD!M2+ND!M2+Alabama!M2+UNO!M2+KSU!M2+Indiana!M2+Iowa!M2+Washington!M2+MSU!M2+Michigan!M2+Wisconsin!M2+Maryland!M2+Rutgers!M2+Illinois!M2+USC!M2+UCLA!M2+Purdue!M2</f>
        <v>0</v>
      </c>
      <c r="N2">
        <f>Louisville!N2+SD!N2+ND!N2+Alabama!N2+UNO!N2+KSU!N2+Indiana!N2+Iowa!N2+Washington!N2+MSU!N2+Michigan!N2+Wisconsin!N2+Maryland!N2+Rutgers!N2+Illinois!N2+USC!N2+UCLA!N2+Purdue!N2</f>
        <v>7</v>
      </c>
      <c r="O2" s="1">
        <f>IFERROR(N2/B2,0)</f>
        <v>8.5365853658536592E-2</v>
      </c>
      <c r="P2">
        <f>Louisville!P2+SD!P2+ND!P2+Alabama!P2+UNO!P2+KSU!P2+Indiana!P2+Iowa!P2+Washington!P2+MSU!P2+Michigan!P2+Wisconsin!P2+Maryland!P2+Rutgers!P2+Illinois!P2+USC!P2+UCLA!P2+Purdue!P2</f>
        <v>7</v>
      </c>
      <c r="Q2">
        <f>Louisville!Q2+SD!Q2+ND!Q2+Alabama!Q2+UNO!Q2+KSU!Q2+Indiana!Q2+Iowa!Q2+Washington!Q2+MSU!Q2+Michigan!Q2+Wisconsin!Q2+Maryland!Q2+Rutgers!Q2+Illinois!Q2+USC!Q2+UCLA!Q2+Purdue!Q2</f>
        <v>6</v>
      </c>
      <c r="R2">
        <f>Louisville!R2+SD!R2+ND!R2+Alabama!R2+UNO!R2+KSU!R2+Indiana!R2+Iowa!R2+Washington!R2+MSU!R2+Michigan!R2+Wisconsin!R2+Maryland!R2+Rutgers!R2+Illinois!R2+USC!R2+UCLA!R2+Purdue!R2</f>
        <v>3</v>
      </c>
      <c r="S2">
        <f>Louisville!S2+SD!S2+ND!S2+Alabama!S2+UNO!S2+KSU!S2+Indiana!S2+Iowa!S2+Washington!S2+MSU!S2+Michigan!S2+Wisconsin!S2+Maryland!S2+Rutgers!S2+Illinois!S2+USC!S2+UCLA!S2+Purdue!S2</f>
        <v>0</v>
      </c>
      <c r="T2">
        <f>Louisville!T2+SD!T2+ND!T2+Alabama!T2+UNO!T2+KSU!T2+Indiana!T2+Iowa!T2+Washington!T2+MSU!T2+Michigan!T2+Wisconsin!T2+Maryland!T2+Rutgers!T2+Illinois!T2+USC!T2+UCLA!T2+Purdue!T2</f>
        <v>0</v>
      </c>
      <c r="U2">
        <f>Louisville!U2+SD!U2+ND!U2+Alabama!U2+UNO!U2+KSU!U2+Indiana!U2+Iowa!U2+Washington!U2+MSU!U2+Michigan!U2+Wisconsin!U2+Maryland!U2+Rutgers!U2+Illinois!U2+USC!U2+UCLA!U2+Purdue!U2</f>
        <v>0</v>
      </c>
      <c r="V2">
        <f>Louisville!V2+SD!V2+ND!V2+Alabama!V2+UNO!V2+KSU!V2+Indiana!V2+Iowa!V2+Washington!V2+MSU!V2+Michigan!V2+Wisconsin!V2+Maryland!V2+Rutgers!V2+Illinois!V2+USC!V2+UCLA!V2+Purdue!V2</f>
        <v>2</v>
      </c>
      <c r="W2">
        <f>Louisville!W2+SD!W2+ND!W2+Alabama!W2+UNO!W2+KSU!W2+Indiana!W2+Iowa!W2+Washington!W2+MSU!W2+Michigan!W2+Wisconsin!W2+Maryland!W2+Rutgers!W2+Illinois!W2+USC!W2+UCLA!W2+Purdue!W2</f>
        <v>11</v>
      </c>
      <c r="X2">
        <f>Louisville!X2+SD!X2+ND!X2+Alabama!X2+UNO!X2+KSU!X2+Indiana!X2+Iowa!X2+Washington!X2+MSU!X2+Michigan!X2+Wisconsin!X2+Maryland!X2+Rutgers!X2+Illinois!X2+USC!X2+UCLA!X2+Purdue!X2</f>
        <v>29</v>
      </c>
      <c r="Y2" s="1">
        <f>IFERROR(X2/B2,0)</f>
        <v>0.35365853658536583</v>
      </c>
      <c r="Z2">
        <f>Louisville!Z2+SD!Z2+ND!Z2+Alabama!Z2+UNO!Z2+KSU!Z2+Indiana!Z2+Iowa!Z2+Washington!Z2+MSU!Z2+Michigan!Z2+Wisconsin!Z2+Maryland!Z2+Rutgers!Z2+Illinois!Z2+USC!Z2+UCLA!Z2+Purdue!Z2</f>
        <v>36</v>
      </c>
      <c r="AA2" s="1">
        <f>IFERROR(Z2/B2,0)</f>
        <v>0.43902439024390244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82&lt;/td&gt;&lt;td&gt;0&lt;/td&gt;&lt;td&gt;0&lt;/td&gt;&lt;td&gt;0&lt;/td&gt;&lt;td&gt;6&lt;/td&gt;&lt;td&gt;0&lt;/td&gt;&lt;td&gt;0&lt;/td&gt;&lt;td&gt;1&lt;/td&gt;&lt;td&gt;0&lt;/td&gt;&lt;td&gt;0&lt;/td&gt;&lt;td&gt;0&lt;/td&gt;&lt;td&gt;0&lt;/td&gt;&lt;td&gt;7&lt;/td&gt;&lt;td&gt;0.09&lt;/td&gt;&lt;td&gt;36&lt;/td&gt;&lt;td&gt;0.44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82&lt;/td&gt;&lt;td&gt;7&lt;/td&gt;&lt;td&gt;6&lt;/td&gt;&lt;td&gt;3&lt;/td&gt;&lt;td&gt;0&lt;/td&gt;&lt;td&gt;0&lt;/td&gt;&lt;td&gt;0&lt;/td&gt;&lt;td&gt;2&lt;/td&gt;&lt;td&gt;11&lt;/td&gt;&lt;td&gt;29&lt;/td&gt;&lt;td&gt;0.35&lt;/td&gt;&lt;td&gt;36&lt;/td&gt;&lt;td&gt;0.44&lt;/td&gt;&lt;/tr&gt;</v>
      </c>
    </row>
    <row r="3" spans="1:46" x14ac:dyDescent="0.3">
      <c r="A3" t="s">
        <v>26</v>
      </c>
      <c r="B3">
        <f>Louisville!B3+SD!B3+ND!B3+Alabama!B3+UNO!B3+KSU!B3+Indiana!B3+Iowa!B3+Washington!B3+MSU!B3+Michigan!B3+Wisconsin!B3+Maryland!B3+Rutgers!B3+Illinois!B3+USC!B3+UCLA!B3+Purdue!B3</f>
        <v>80</v>
      </c>
      <c r="C3">
        <f>Louisville!C3+SD!C3+ND!C3+Alabama!C3+UNO!C3+KSU!C3+Indiana!C3+Iowa!C3+Washington!C3+MSU!C3+Michigan!C3+Wisconsin!C3+Maryland!C3+Rutgers!C3+Illinois!C3+USC!C3+UCLA!C3+Purdue!C3</f>
        <v>0</v>
      </c>
      <c r="D3">
        <f>Louisville!D3+SD!D3+ND!D3+Alabama!D3+UNO!D3+KSU!D3+Indiana!D3+Iowa!D3+Washington!D3+MSU!D3+Michigan!D3+Wisconsin!D3+Maryland!D3+Rutgers!D3+Illinois!D3+USC!D3+UCLA!D3+Purdue!D3</f>
        <v>0</v>
      </c>
      <c r="E3">
        <f>Louisville!E3+SD!E3+ND!E3+Alabama!E3+UNO!E3+KSU!E3+Indiana!E3+Iowa!E3+Washington!E3+MSU!E3+Michigan!E3+Wisconsin!E3+Maryland!E3+Rutgers!E3+Illinois!E3+USC!E3+UCLA!E3+Purdue!E3</f>
        <v>0</v>
      </c>
      <c r="F3">
        <f>Louisville!F3+SD!F3+ND!F3+Alabama!F3+UNO!F3+KSU!F3+Indiana!F3+Iowa!F3+Washington!F3+MSU!F3+Michigan!F3+Wisconsin!F3+Maryland!F3+Rutgers!F3+Illinois!F3+USC!F3+UCLA!F3+Purdue!F3</f>
        <v>2</v>
      </c>
      <c r="G3">
        <f>Louisville!G3+SD!G3+ND!G3+Alabama!G3+UNO!G3+KSU!G3+Indiana!G3+Iowa!G3+Washington!G3+MSU!G3+Michigan!G3+Wisconsin!G3+Maryland!G3+Rutgers!G3+Illinois!G3+USC!G3+UCLA!G3+Purdue!G3</f>
        <v>1</v>
      </c>
      <c r="H3">
        <f>Louisville!H3+SD!H3+ND!H3+Alabama!H3+UNO!H3+KSU!H3+Indiana!H3+Iowa!H3+Washington!H3+MSU!H3+Michigan!H3+Wisconsin!H3+Maryland!H3+Rutgers!H3+Illinois!H3+USC!H3+UCLA!H3+Purdue!H3</f>
        <v>1</v>
      </c>
      <c r="I3">
        <f>Louisville!I3+SD!I3+ND!I3+Alabama!I3+UNO!I3+KSU!I3+Indiana!I3+Iowa!I3+Washington!I3+MSU!I3+Michigan!I3+Wisconsin!I3+Maryland!I3+Rutgers!I3+Illinois!I3+USC!I3+UCLA!I3+Purdue!I3</f>
        <v>0</v>
      </c>
      <c r="J3">
        <f>Louisville!J3+SD!J3+ND!J3+Alabama!J3+UNO!J3+KSU!J3+Indiana!J3+Iowa!J3+Washington!J3+MSU!J3+Michigan!J3+Wisconsin!J3+Maryland!J3+Rutgers!J3+Illinois!J3+USC!J3+UCLA!J3+Purdue!J3</f>
        <v>2</v>
      </c>
      <c r="K3">
        <f>Louisville!K3+SD!K3+ND!K3+Alabama!K3+UNO!K3+KSU!K3+Indiana!K3+Iowa!K3+Washington!K3+MSU!K3+Michigan!K3+Wisconsin!K3+Maryland!K3+Rutgers!K3+Illinois!K3+USC!K3+UCLA!K3+Purdue!K3</f>
        <v>1</v>
      </c>
      <c r="L3">
        <f>Louisville!L3+SD!L3+ND!L3+Alabama!L3+UNO!L3+KSU!L3+Indiana!L3+Iowa!L3+Washington!L3+MSU!L3+Michigan!L3+Wisconsin!L3+Maryland!L3+Rutgers!L3+Illinois!L3+USC!L3+UCLA!L3+Purdue!L3</f>
        <v>1</v>
      </c>
      <c r="M3">
        <f>Louisville!M3+SD!M3+ND!M3+Alabama!M3+UNO!M3+KSU!M3+Indiana!M3+Iowa!M3+Washington!M3+MSU!M3+Michigan!M3+Wisconsin!M3+Maryland!M3+Rutgers!M3+Illinois!M3+USC!M3+UCLA!M3+Purdue!M3</f>
        <v>1</v>
      </c>
      <c r="N3">
        <f>Louisville!N3+SD!N3+ND!N3+Alabama!N3+UNO!N3+KSU!N3+Indiana!N3+Iowa!N3+Washington!N3+MSU!N3+Michigan!N3+Wisconsin!N3+Maryland!N3+Rutgers!N3+Illinois!N3+USC!N3+UCLA!N3+Purdue!N3</f>
        <v>8</v>
      </c>
      <c r="O3" s="1">
        <f t="shared" ref="O3:O24" si="0">IFERROR(N3/B3,0)</f>
        <v>0.1</v>
      </c>
      <c r="P3">
        <f>Louisville!P3+SD!P3+ND!P3+Alabama!P3+UNO!P3+KSU!P3+Indiana!P3+Iowa!P3+Washington!P3+MSU!P3+Michigan!P3+Wisconsin!P3+Maryland!P3+Rutgers!P3+Illinois!P3+USC!P3+UCLA!P3+Purdue!P3</f>
        <v>3</v>
      </c>
      <c r="Q3">
        <f>Louisville!Q3+SD!Q3+ND!Q3+Alabama!Q3+UNO!Q3+KSU!Q3+Indiana!Q3+Iowa!Q3+Washington!Q3+MSU!Q3+Michigan!Q3+Wisconsin!Q3+Maryland!Q3+Rutgers!Q3+Illinois!Q3+USC!Q3+UCLA!Q3+Purdue!Q3</f>
        <v>3</v>
      </c>
      <c r="R3">
        <f>Louisville!R3+SD!R3+ND!R3+Alabama!R3+UNO!R3+KSU!R3+Indiana!R3+Iowa!R3+Washington!R3+MSU!R3+Michigan!R3+Wisconsin!R3+Maryland!R3+Rutgers!R3+Illinois!R3+USC!R3+UCLA!R3+Purdue!R3</f>
        <v>1</v>
      </c>
      <c r="S3">
        <f>Louisville!S3+SD!S3+ND!S3+Alabama!S3+UNO!S3+KSU!S3+Indiana!S3+Iowa!S3+Washington!S3+MSU!S3+Michigan!S3+Wisconsin!S3+Maryland!S3+Rutgers!S3+Illinois!S3+USC!S3+UCLA!S3+Purdue!S3</f>
        <v>0</v>
      </c>
      <c r="T3">
        <f>Louisville!T3+SD!T3+ND!T3+Alabama!T3+UNO!T3+KSU!T3+Indiana!T3+Iowa!T3+Washington!T3+MSU!T3+Michigan!T3+Wisconsin!T3+Maryland!T3+Rutgers!T3+Illinois!T3+USC!T3+UCLA!T3+Purdue!T3</f>
        <v>0</v>
      </c>
      <c r="U3">
        <f>Louisville!U3+SD!U3+ND!U3+Alabama!U3+UNO!U3+KSU!U3+Indiana!U3+Iowa!U3+Washington!U3+MSU!U3+Michigan!U3+Wisconsin!U3+Maryland!U3+Rutgers!U3+Illinois!U3+USC!U3+UCLA!U3+Purdue!U3</f>
        <v>2</v>
      </c>
      <c r="V3">
        <f>Louisville!V3+SD!V3+ND!V3+Alabama!V3+UNO!V3+KSU!V3+Indiana!V3+Iowa!V3+Washington!V3+MSU!V3+Michigan!V3+Wisconsin!V3+Maryland!V3+Rutgers!V3+Illinois!V3+USC!V3+UCLA!V3+Purdue!V3</f>
        <v>0</v>
      </c>
      <c r="W3">
        <f>Louisville!W3+SD!W3+ND!W3+Alabama!W3+UNO!W3+KSU!W3+Indiana!W3+Iowa!W3+Washington!W3+MSU!W3+Michigan!W3+Wisconsin!W3+Maryland!W3+Rutgers!W3+Illinois!W3+USC!W3+UCLA!W3+Purdue!W3</f>
        <v>4</v>
      </c>
      <c r="X3">
        <f>Louisville!X3+SD!X3+ND!X3+Alabama!X3+UNO!X3+KSU!X3+Indiana!X3+Iowa!X3+Washington!X3+MSU!X3+Michigan!X3+Wisconsin!X3+Maryland!X3+Rutgers!X3+Illinois!X3+USC!X3+UCLA!X3+Purdue!X3</f>
        <v>13</v>
      </c>
      <c r="Y3" s="1">
        <f t="shared" ref="Y3:Y24" si="1">IFERROR(X3/B3,0)</f>
        <v>0.16250000000000001</v>
      </c>
      <c r="Z3">
        <f>Louisville!Z3+SD!Z3+ND!Z3+Alabama!Z3+UNO!Z3+KSU!Z3+Indiana!Z3+Iowa!Z3+Washington!Z3+MSU!Z3+Michigan!Z3+Wisconsin!Z3+Maryland!Z3+Rutgers!Z3+Illinois!Z3+USC!Z3+UCLA!Z3+Purdue!Z3</f>
        <v>21</v>
      </c>
      <c r="AA3" s="1">
        <f t="shared" ref="AA3:AA24" si="2">IFERROR(Z3/B3,0)</f>
        <v>0.26250000000000001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80&lt;/td&gt;&lt;td&gt;0&lt;/td&gt;&lt;td&gt;0&lt;/td&gt;&lt;td&gt;0&lt;/td&gt;&lt;td&gt;2&lt;/td&gt;&lt;td&gt;1&lt;/td&gt;&lt;td&gt;1&lt;/td&gt;&lt;td&gt;0&lt;/td&gt;&lt;td&gt;2&lt;/td&gt;&lt;td&gt;1&lt;/td&gt;&lt;td&gt;1&lt;/td&gt;&lt;td&gt;1&lt;/td&gt;&lt;td&gt;8&lt;/td&gt;&lt;td&gt;0.10&lt;/td&gt;&lt;td&gt;21&lt;/td&gt;&lt;td&gt;0.26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80&lt;/td&gt;&lt;td&gt;3&lt;/td&gt;&lt;td&gt;3&lt;/td&gt;&lt;td&gt;1&lt;/td&gt;&lt;td&gt;0&lt;/td&gt;&lt;td&gt;0&lt;/td&gt;&lt;td&gt;2&lt;/td&gt;&lt;td&gt;0&lt;/td&gt;&lt;td&gt;4&lt;/td&gt;&lt;td&gt;13&lt;/td&gt;&lt;td&gt;0.16&lt;/td&gt;&lt;td&gt;21&lt;/td&gt;&lt;td&gt;0.26&lt;/td&gt;&lt;/tr&gt;</v>
      </c>
    </row>
    <row r="4" spans="1:46" x14ac:dyDescent="0.3">
      <c r="A4" t="s">
        <v>27</v>
      </c>
      <c r="B4">
        <f>Louisville!B4+SD!B4+ND!B4+Alabama!B4+UNO!B4+KSU!B4+Indiana!B4+Iowa!B4+Washington!B4+MSU!B4+Michigan!B4+Wisconsin!B4+Maryland!B4+Rutgers!B4+Illinois!B4+USC!B4+UCLA!B4+Purdue!B4</f>
        <v>730</v>
      </c>
      <c r="C4">
        <f>Louisville!C4+SD!C4+ND!C4+Alabama!C4+UNO!C4+KSU!C4+Indiana!C4+Iowa!C4+Washington!C4+MSU!C4+Michigan!C4+Wisconsin!C4+Maryland!C4+Rutgers!C4+Illinois!C4+USC!C4+UCLA!C4+Purdue!C4</f>
        <v>3</v>
      </c>
      <c r="D4">
        <f>Louisville!D4+SD!D4+ND!D4+Alabama!D4+UNO!D4+KSU!D4+Indiana!D4+Iowa!D4+Washington!D4+MSU!D4+Michigan!D4+Wisconsin!D4+Maryland!D4+Rutgers!D4+Illinois!D4+USC!D4+UCLA!D4+Purdue!D4</f>
        <v>0</v>
      </c>
      <c r="E4">
        <f>Louisville!E4+SD!E4+ND!E4+Alabama!E4+UNO!E4+KSU!E4+Indiana!E4+Iowa!E4+Washington!E4+MSU!E4+Michigan!E4+Wisconsin!E4+Maryland!E4+Rutgers!E4+Illinois!E4+USC!E4+UCLA!E4+Purdue!E4</f>
        <v>3</v>
      </c>
      <c r="F4">
        <f>Louisville!F4+SD!F4+ND!F4+Alabama!F4+UNO!F4+KSU!F4+Indiana!F4+Iowa!F4+Washington!F4+MSU!F4+Michigan!F4+Wisconsin!F4+Maryland!F4+Rutgers!F4+Illinois!F4+USC!F4+UCLA!F4+Purdue!F4</f>
        <v>19</v>
      </c>
      <c r="G4">
        <f>Louisville!G4+SD!G4+ND!G4+Alabama!G4+UNO!G4+KSU!G4+Indiana!G4+Iowa!G4+Washington!G4+MSU!G4+Michigan!G4+Wisconsin!G4+Maryland!G4+Rutgers!G4+Illinois!G4+USC!G4+UCLA!G4+Purdue!G4</f>
        <v>5</v>
      </c>
      <c r="H4">
        <f>Louisville!H4+SD!H4+ND!H4+Alabama!H4+UNO!H4+KSU!H4+Indiana!H4+Iowa!H4+Washington!H4+MSU!H4+Michigan!H4+Wisconsin!H4+Maryland!H4+Rutgers!H4+Illinois!H4+USC!H4+UCLA!H4+Purdue!H4</f>
        <v>4</v>
      </c>
      <c r="I4">
        <f>Louisville!I4+SD!I4+ND!I4+Alabama!I4+UNO!I4+KSU!I4+Indiana!I4+Iowa!I4+Washington!I4+MSU!I4+Michigan!I4+Wisconsin!I4+Maryland!I4+Rutgers!I4+Illinois!I4+USC!I4+UCLA!I4+Purdue!I4</f>
        <v>5</v>
      </c>
      <c r="J4">
        <f>Louisville!J4+SD!J4+ND!J4+Alabama!J4+UNO!J4+KSU!J4+Indiana!J4+Iowa!J4+Washington!J4+MSU!J4+Michigan!J4+Wisconsin!J4+Maryland!J4+Rutgers!J4+Illinois!J4+USC!J4+UCLA!J4+Purdue!J4</f>
        <v>53</v>
      </c>
      <c r="K4">
        <f>Louisville!K4+SD!K4+ND!K4+Alabama!K4+UNO!K4+KSU!K4+Indiana!K4+Iowa!K4+Washington!K4+MSU!K4+Michigan!K4+Wisconsin!K4+Maryland!K4+Rutgers!K4+Illinois!K4+USC!K4+UCLA!K4+Purdue!K4</f>
        <v>33</v>
      </c>
      <c r="L4">
        <f>Louisville!L4+SD!L4+ND!L4+Alabama!L4+UNO!L4+KSU!L4+Indiana!L4+Iowa!L4+Washington!L4+MSU!L4+Michigan!L4+Wisconsin!L4+Maryland!L4+Rutgers!L4+Illinois!L4+USC!L4+UCLA!L4+Purdue!L4</f>
        <v>12</v>
      </c>
      <c r="M4">
        <f>Louisville!M4+SD!M4+ND!M4+Alabama!M4+UNO!M4+KSU!M4+Indiana!M4+Iowa!M4+Washington!M4+MSU!M4+Michigan!M4+Wisconsin!M4+Maryland!M4+Rutgers!M4+Illinois!M4+USC!M4+UCLA!M4+Purdue!M4</f>
        <v>10</v>
      </c>
      <c r="N4">
        <f>Louisville!N4+SD!N4+ND!N4+Alabama!N4+UNO!N4+KSU!N4+Indiana!N4+Iowa!N4+Washington!N4+MSU!N4+Michigan!N4+Wisconsin!N4+Maryland!N4+Rutgers!N4+Illinois!N4+USC!N4+UCLA!N4+Purdue!N4</f>
        <v>144</v>
      </c>
      <c r="O4" s="1">
        <f t="shared" si="0"/>
        <v>0.19726027397260273</v>
      </c>
      <c r="P4">
        <f>Louisville!P4+SD!P4+ND!P4+Alabama!P4+UNO!P4+KSU!P4+Indiana!P4+Iowa!P4+Washington!P4+MSU!P4+Michigan!P4+Wisconsin!P4+Maryland!P4+Rutgers!P4+Illinois!P4+USC!P4+UCLA!P4+Purdue!P4</f>
        <v>9</v>
      </c>
      <c r="Q4">
        <f>Louisville!Q4+SD!Q4+ND!Q4+Alabama!Q4+UNO!Q4+KSU!Q4+Indiana!Q4+Iowa!Q4+Washington!Q4+MSU!Q4+Michigan!Q4+Wisconsin!Q4+Maryland!Q4+Rutgers!Q4+Illinois!Q4+USC!Q4+UCLA!Q4+Purdue!Q4</f>
        <v>17</v>
      </c>
      <c r="R4">
        <f>Louisville!R4+SD!R4+ND!R4+Alabama!R4+UNO!R4+KSU!R4+Indiana!R4+Iowa!R4+Washington!R4+MSU!R4+Michigan!R4+Wisconsin!R4+Maryland!R4+Rutgers!R4+Illinois!R4+USC!R4+UCLA!R4+Purdue!R4</f>
        <v>9</v>
      </c>
      <c r="S4">
        <f>Louisville!S4+SD!S4+ND!S4+Alabama!S4+UNO!S4+KSU!S4+Indiana!S4+Iowa!S4+Washington!S4+MSU!S4+Michigan!S4+Wisconsin!S4+Maryland!S4+Rutgers!S4+Illinois!S4+USC!S4+UCLA!S4+Purdue!S4</f>
        <v>1</v>
      </c>
      <c r="T4">
        <f>Louisville!T4+SD!T4+ND!T4+Alabama!T4+UNO!T4+KSU!T4+Indiana!T4+Iowa!T4+Washington!T4+MSU!T4+Michigan!T4+Wisconsin!T4+Maryland!T4+Rutgers!T4+Illinois!T4+USC!T4+UCLA!T4+Purdue!T4</f>
        <v>2</v>
      </c>
      <c r="U4">
        <f>Louisville!U4+SD!U4+ND!U4+Alabama!U4+UNO!U4+KSU!U4+Indiana!U4+Iowa!U4+Washington!U4+MSU!U4+Michigan!U4+Wisconsin!U4+Maryland!U4+Rutgers!U4+Illinois!U4+USC!U4+UCLA!U4+Purdue!U4</f>
        <v>5</v>
      </c>
      <c r="V4">
        <f>Louisville!V4+SD!V4+ND!V4+Alabama!V4+UNO!V4+KSU!V4+Indiana!V4+Iowa!V4+Washington!V4+MSU!V4+Michigan!V4+Wisconsin!V4+Maryland!V4+Rutgers!V4+Illinois!V4+USC!V4+UCLA!V4+Purdue!V4</f>
        <v>23</v>
      </c>
      <c r="W4">
        <f>Louisville!W4+SD!W4+ND!W4+Alabama!W4+UNO!W4+KSU!W4+Indiana!W4+Iowa!W4+Washington!W4+MSU!W4+Michigan!W4+Wisconsin!W4+Maryland!W4+Rutgers!W4+Illinois!W4+USC!W4+UCLA!W4+Purdue!W4</f>
        <v>28</v>
      </c>
      <c r="X4">
        <f>Louisville!X4+SD!X4+ND!X4+Alabama!X4+UNO!X4+KSU!X4+Indiana!X4+Iowa!X4+Washington!X4+MSU!X4+Michigan!X4+Wisconsin!X4+Maryland!X4+Rutgers!X4+Illinois!X4+USC!X4+UCLA!X4+Purdue!X4</f>
        <v>94</v>
      </c>
      <c r="Y4" s="1">
        <f t="shared" si="1"/>
        <v>0.12876712328767123</v>
      </c>
      <c r="Z4">
        <f>Louisville!Z4+SD!Z4+ND!Z4+Alabama!Z4+UNO!Z4+KSU!Z4+Indiana!Z4+Iowa!Z4+Washington!Z4+MSU!Z4+Michigan!Z4+Wisconsin!Z4+Maryland!Z4+Rutgers!Z4+Illinois!Z4+USC!Z4+UCLA!Z4+Purdue!Z4</f>
        <v>238</v>
      </c>
      <c r="AA4" s="1">
        <f t="shared" si="2"/>
        <v>0.32602739726027397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730&lt;/td&gt;&lt;td&gt;3&lt;/td&gt;&lt;td&gt;0&lt;/td&gt;&lt;td&gt;3&lt;/td&gt;&lt;td&gt;19&lt;/td&gt;&lt;td&gt;5&lt;/td&gt;&lt;td&gt;4&lt;/td&gt;&lt;td&gt;5&lt;/td&gt;&lt;td&gt;53&lt;/td&gt;&lt;td&gt;33&lt;/td&gt;&lt;td&gt;12&lt;/td&gt;&lt;td&gt;10&lt;/td&gt;&lt;td&gt;144&lt;/td&gt;&lt;td&gt;0.20&lt;/td&gt;&lt;td&gt;238&lt;/td&gt;&lt;td&gt;0.33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730&lt;/td&gt;&lt;td&gt;9&lt;/td&gt;&lt;td&gt;17&lt;/td&gt;&lt;td&gt;9&lt;/td&gt;&lt;td&gt;1&lt;/td&gt;&lt;td&gt;2&lt;/td&gt;&lt;td&gt;5&lt;/td&gt;&lt;td&gt;23&lt;/td&gt;&lt;td&gt;28&lt;/td&gt;&lt;td&gt;94&lt;/td&gt;&lt;td&gt;0.13&lt;/td&gt;&lt;td&gt;238&lt;/td&gt;&lt;td&gt;0.33&lt;/td&gt;&lt;/tr&gt;</v>
      </c>
    </row>
    <row r="5" spans="1:46" x14ac:dyDescent="0.3">
      <c r="A5" t="s">
        <v>28</v>
      </c>
      <c r="B5">
        <f>Louisville!B5+SD!B5+ND!B5+Alabama!B5+UNO!B5+KSU!B5+Indiana!B5+Iowa!B5+Washington!B5+MSU!B5+Michigan!B5+Wisconsin!B5+Maryland!B5+Rutgers!B5+Illinois!B5+USC!B5+UCLA!B5+Purdue!B5</f>
        <v>452</v>
      </c>
      <c r="C5">
        <f>Louisville!C5+SD!C5+ND!C5+Alabama!C5+UNO!C5+KSU!C5+Indiana!C5+Iowa!C5+Washington!C5+MSU!C5+Michigan!C5+Wisconsin!C5+Maryland!C5+Rutgers!C5+Illinois!C5+USC!C5+UCLA!C5+Purdue!C5</f>
        <v>1</v>
      </c>
      <c r="D5">
        <f>Louisville!D5+SD!D5+ND!D5+Alabama!D5+UNO!D5+KSU!D5+Indiana!D5+Iowa!D5+Washington!D5+MSU!D5+Michigan!D5+Wisconsin!D5+Maryland!D5+Rutgers!D5+Illinois!D5+USC!D5+UCLA!D5+Purdue!D5</f>
        <v>0</v>
      </c>
      <c r="E5">
        <f>Louisville!E5+SD!E5+ND!E5+Alabama!E5+UNO!E5+KSU!E5+Indiana!E5+Iowa!E5+Washington!E5+MSU!E5+Michigan!E5+Wisconsin!E5+Maryland!E5+Rutgers!E5+Illinois!E5+USC!E5+UCLA!E5+Purdue!E5</f>
        <v>2</v>
      </c>
      <c r="F5">
        <f>Louisville!F5+SD!F5+ND!F5+Alabama!F5+UNO!F5+KSU!F5+Indiana!F5+Iowa!F5+Washington!F5+MSU!F5+Michigan!F5+Wisconsin!F5+Maryland!F5+Rutgers!F5+Illinois!F5+USC!F5+UCLA!F5+Purdue!F5</f>
        <v>15</v>
      </c>
      <c r="G5">
        <f>Louisville!G5+SD!G5+ND!G5+Alabama!G5+UNO!G5+KSU!G5+Indiana!G5+Iowa!G5+Washington!G5+MSU!G5+Michigan!G5+Wisconsin!G5+Maryland!G5+Rutgers!G5+Illinois!G5+USC!G5+UCLA!G5+Purdue!G5</f>
        <v>1</v>
      </c>
      <c r="H5">
        <f>Louisville!H5+SD!H5+ND!H5+Alabama!H5+UNO!H5+KSU!H5+Indiana!H5+Iowa!H5+Washington!H5+MSU!H5+Michigan!H5+Wisconsin!H5+Maryland!H5+Rutgers!H5+Illinois!H5+USC!H5+UCLA!H5+Purdue!H5</f>
        <v>10</v>
      </c>
      <c r="I5">
        <f>Louisville!I5+SD!I5+ND!I5+Alabama!I5+UNO!I5+KSU!I5+Indiana!I5+Iowa!I5+Washington!I5+MSU!I5+Michigan!I5+Wisconsin!I5+Maryland!I5+Rutgers!I5+Illinois!I5+USC!I5+UCLA!I5+Purdue!I5</f>
        <v>10</v>
      </c>
      <c r="J5">
        <f>Louisville!J5+SD!J5+ND!J5+Alabama!J5+UNO!J5+KSU!J5+Indiana!J5+Iowa!J5+Washington!J5+MSU!J5+Michigan!J5+Wisconsin!J5+Maryland!J5+Rutgers!J5+Illinois!J5+USC!J5+UCLA!J5+Purdue!J5</f>
        <v>15</v>
      </c>
      <c r="K5">
        <f>Louisville!K5+SD!K5+ND!K5+Alabama!K5+UNO!K5+KSU!K5+Indiana!K5+Iowa!K5+Washington!K5+MSU!K5+Michigan!K5+Wisconsin!K5+Maryland!K5+Rutgers!K5+Illinois!K5+USC!K5+UCLA!K5+Purdue!K5</f>
        <v>7</v>
      </c>
      <c r="L5">
        <f>Louisville!L5+SD!L5+ND!L5+Alabama!L5+UNO!L5+KSU!L5+Indiana!L5+Iowa!L5+Washington!L5+MSU!L5+Michigan!L5+Wisconsin!L5+Maryland!L5+Rutgers!L5+Illinois!L5+USC!L5+UCLA!L5+Purdue!L5</f>
        <v>5</v>
      </c>
      <c r="M5">
        <f>Louisville!M5+SD!M5+ND!M5+Alabama!M5+UNO!M5+KSU!M5+Indiana!M5+Iowa!M5+Washington!M5+MSU!M5+Michigan!M5+Wisconsin!M5+Maryland!M5+Rutgers!M5+Illinois!M5+USC!M5+UCLA!M5+Purdue!M5</f>
        <v>5</v>
      </c>
      <c r="N5">
        <f>Louisville!N5+SD!N5+ND!N5+Alabama!N5+UNO!N5+KSU!N5+Indiana!N5+Iowa!N5+Washington!N5+MSU!N5+Michigan!N5+Wisconsin!N5+Maryland!N5+Rutgers!N5+Illinois!N5+USC!N5+UCLA!N5+Purdue!N5</f>
        <v>70</v>
      </c>
      <c r="O5" s="1">
        <f t="shared" si="0"/>
        <v>0.15486725663716813</v>
      </c>
      <c r="P5">
        <f>Louisville!P5+SD!P5+ND!P5+Alabama!P5+UNO!P5+KSU!P5+Indiana!P5+Iowa!P5+Washington!P5+MSU!P5+Michigan!P5+Wisconsin!P5+Maryland!P5+Rutgers!P5+Illinois!P5+USC!P5+UCLA!P5+Purdue!P5</f>
        <v>5</v>
      </c>
      <c r="Q5">
        <f>Louisville!Q5+SD!Q5+ND!Q5+Alabama!Q5+UNO!Q5+KSU!Q5+Indiana!Q5+Iowa!Q5+Washington!Q5+MSU!Q5+Michigan!Q5+Wisconsin!Q5+Maryland!Q5+Rutgers!Q5+Illinois!Q5+USC!Q5+UCLA!Q5+Purdue!Q5</f>
        <v>12</v>
      </c>
      <c r="R5">
        <f>Louisville!R5+SD!R5+ND!R5+Alabama!R5+UNO!R5+KSU!R5+Indiana!R5+Iowa!R5+Washington!R5+MSU!R5+Michigan!R5+Wisconsin!R5+Maryland!R5+Rutgers!R5+Illinois!R5+USC!R5+UCLA!R5+Purdue!R5</f>
        <v>7</v>
      </c>
      <c r="S5">
        <f>Louisville!S5+SD!S5+ND!S5+Alabama!S5+UNO!S5+KSU!S5+Indiana!S5+Iowa!S5+Washington!S5+MSU!S5+Michigan!S5+Wisconsin!S5+Maryland!S5+Rutgers!S5+Illinois!S5+USC!S5+UCLA!S5+Purdue!S5</f>
        <v>3</v>
      </c>
      <c r="T5">
        <f>Louisville!T5+SD!T5+ND!T5+Alabama!T5+UNO!T5+KSU!T5+Indiana!T5+Iowa!T5+Washington!T5+MSU!T5+Michigan!T5+Wisconsin!T5+Maryland!T5+Rutgers!T5+Illinois!T5+USC!T5+UCLA!T5+Purdue!T5</f>
        <v>6</v>
      </c>
      <c r="U5">
        <f>Louisville!U5+SD!U5+ND!U5+Alabama!U5+UNO!U5+KSU!U5+Indiana!U5+Iowa!U5+Washington!U5+MSU!U5+Michigan!U5+Wisconsin!U5+Maryland!U5+Rutgers!U5+Illinois!U5+USC!U5+UCLA!U5+Purdue!U5</f>
        <v>9</v>
      </c>
      <c r="V5">
        <f>Louisville!V5+SD!V5+ND!V5+Alabama!V5+UNO!V5+KSU!V5+Indiana!V5+Iowa!V5+Washington!V5+MSU!V5+Michigan!V5+Wisconsin!V5+Maryland!V5+Rutgers!V5+Illinois!V5+USC!V5+UCLA!V5+Purdue!V5</f>
        <v>5</v>
      </c>
      <c r="W5">
        <f>Louisville!W5+SD!W5+ND!W5+Alabama!W5+UNO!W5+KSU!W5+Indiana!W5+Iowa!W5+Washington!W5+MSU!W5+Michigan!W5+Wisconsin!W5+Maryland!W5+Rutgers!W5+Illinois!W5+USC!W5+UCLA!W5+Purdue!W5</f>
        <v>29</v>
      </c>
      <c r="X5">
        <f>Louisville!X5+SD!X5+ND!X5+Alabama!X5+UNO!X5+KSU!X5+Indiana!X5+Iowa!X5+Washington!X5+MSU!X5+Michigan!X5+Wisconsin!X5+Maryland!X5+Rutgers!X5+Illinois!X5+USC!X5+UCLA!X5+Purdue!X5</f>
        <v>76</v>
      </c>
      <c r="Y5" s="1">
        <f t="shared" si="1"/>
        <v>0.16814159292035399</v>
      </c>
      <c r="Z5">
        <f>Louisville!Z5+SD!Z5+ND!Z5+Alabama!Z5+UNO!Z5+KSU!Z5+Indiana!Z5+Iowa!Z5+Washington!Z5+MSU!Z5+Michigan!Z5+Wisconsin!Z5+Maryland!Z5+Rutgers!Z5+Illinois!Z5+USC!Z5+UCLA!Z5+Purdue!Z5</f>
        <v>146</v>
      </c>
      <c r="AA5" s="1">
        <f t="shared" si="2"/>
        <v>0.32300884955752213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452&lt;/td&gt;&lt;td&gt;1&lt;/td&gt;&lt;td&gt;0&lt;/td&gt;&lt;td&gt;2&lt;/td&gt;&lt;td&gt;15&lt;/td&gt;&lt;td&gt;1&lt;/td&gt;&lt;td&gt;10&lt;/td&gt;&lt;td&gt;10&lt;/td&gt;&lt;td&gt;15&lt;/td&gt;&lt;td&gt;7&lt;/td&gt;&lt;td&gt;5&lt;/td&gt;&lt;td&gt;5&lt;/td&gt;&lt;td&gt;70&lt;/td&gt;&lt;td&gt;0.15&lt;/td&gt;&lt;td&gt;146&lt;/td&gt;&lt;td&gt;0.32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452&lt;/td&gt;&lt;td&gt;5&lt;/td&gt;&lt;td&gt;12&lt;/td&gt;&lt;td&gt;7&lt;/td&gt;&lt;td&gt;3&lt;/td&gt;&lt;td&gt;6&lt;/td&gt;&lt;td&gt;9&lt;/td&gt;&lt;td&gt;5&lt;/td&gt;&lt;td&gt;29&lt;/td&gt;&lt;td&gt;76&lt;/td&gt;&lt;td&gt;0.17&lt;/td&gt;&lt;td&gt;146&lt;/td&gt;&lt;td&gt;0.32&lt;/td&gt;&lt;/tr&gt;</v>
      </c>
    </row>
    <row r="6" spans="1:46" x14ac:dyDescent="0.3">
      <c r="A6" t="s">
        <v>29</v>
      </c>
      <c r="B6">
        <f>Louisville!B6+SD!B6+ND!B6+Alabama!B6+UNO!B6+KSU!B6+Indiana!B6+Iowa!B6+Washington!B6+MSU!B6+Michigan!B6+Wisconsin!B6+Maryland!B6+Rutgers!B6+Illinois!B6+USC!B6+UCLA!B6+Purdue!B6</f>
        <v>77</v>
      </c>
      <c r="C6">
        <f>Louisville!C6+SD!C6+ND!C6+Alabama!C6+UNO!C6+KSU!C6+Indiana!C6+Iowa!C6+Washington!C6+MSU!C6+Michigan!C6+Wisconsin!C6+Maryland!C6+Rutgers!C6+Illinois!C6+USC!C6+UCLA!C6+Purdue!C6</f>
        <v>0</v>
      </c>
      <c r="D6">
        <f>Louisville!D6+SD!D6+ND!D6+Alabama!D6+UNO!D6+KSU!D6+Indiana!D6+Iowa!D6+Washington!D6+MSU!D6+Michigan!D6+Wisconsin!D6+Maryland!D6+Rutgers!D6+Illinois!D6+USC!D6+UCLA!D6+Purdue!D6</f>
        <v>0</v>
      </c>
      <c r="E6">
        <f>Louisville!E6+SD!E6+ND!E6+Alabama!E6+UNO!E6+KSU!E6+Indiana!E6+Iowa!E6+Washington!E6+MSU!E6+Michigan!E6+Wisconsin!E6+Maryland!E6+Rutgers!E6+Illinois!E6+USC!E6+UCLA!E6+Purdue!E6</f>
        <v>0</v>
      </c>
      <c r="F6">
        <f>Louisville!F6+SD!F6+ND!F6+Alabama!F6+UNO!F6+KSU!F6+Indiana!F6+Iowa!F6+Washington!F6+MSU!F6+Michigan!F6+Wisconsin!F6+Maryland!F6+Rutgers!F6+Illinois!F6+USC!F6+UCLA!F6+Purdue!F6</f>
        <v>0</v>
      </c>
      <c r="G6">
        <f>Louisville!G6+SD!G6+ND!G6+Alabama!G6+UNO!G6+KSU!G6+Indiana!G6+Iowa!G6+Washington!G6+MSU!G6+Michigan!G6+Wisconsin!G6+Maryland!G6+Rutgers!G6+Illinois!G6+USC!G6+UCLA!G6+Purdue!G6</f>
        <v>0</v>
      </c>
      <c r="H6">
        <f>Louisville!H6+SD!H6+ND!H6+Alabama!H6+UNO!H6+KSU!H6+Indiana!H6+Iowa!H6+Washington!H6+MSU!H6+Michigan!H6+Wisconsin!H6+Maryland!H6+Rutgers!H6+Illinois!H6+USC!H6+UCLA!H6+Purdue!H6</f>
        <v>2</v>
      </c>
      <c r="I6">
        <f>Louisville!I6+SD!I6+ND!I6+Alabama!I6+UNO!I6+KSU!I6+Indiana!I6+Iowa!I6+Washington!I6+MSU!I6+Michigan!I6+Wisconsin!I6+Maryland!I6+Rutgers!I6+Illinois!I6+USC!I6+UCLA!I6+Purdue!I6</f>
        <v>2</v>
      </c>
      <c r="J6">
        <f>Louisville!J6+SD!J6+ND!J6+Alabama!J6+UNO!J6+KSU!J6+Indiana!J6+Iowa!J6+Washington!J6+MSU!J6+Michigan!J6+Wisconsin!J6+Maryland!J6+Rutgers!J6+Illinois!J6+USC!J6+UCLA!J6+Purdue!J6</f>
        <v>1</v>
      </c>
      <c r="K6">
        <f>Louisville!K6+SD!K6+ND!K6+Alabama!K6+UNO!K6+KSU!K6+Indiana!K6+Iowa!K6+Washington!K6+MSU!K6+Michigan!K6+Wisconsin!K6+Maryland!K6+Rutgers!K6+Illinois!K6+USC!K6+UCLA!K6+Purdue!K6</f>
        <v>1</v>
      </c>
      <c r="L6">
        <f>Louisville!L6+SD!L6+ND!L6+Alabama!L6+UNO!L6+KSU!L6+Indiana!L6+Iowa!L6+Washington!L6+MSU!L6+Michigan!L6+Wisconsin!L6+Maryland!L6+Rutgers!L6+Illinois!L6+USC!L6+UCLA!L6+Purdue!L6</f>
        <v>0</v>
      </c>
      <c r="M6">
        <f>Louisville!M6+SD!M6+ND!M6+Alabama!M6+UNO!M6+KSU!M6+Indiana!M6+Iowa!M6+Washington!M6+MSU!M6+Michigan!M6+Wisconsin!M6+Maryland!M6+Rutgers!M6+Illinois!M6+USC!M6+UCLA!M6+Purdue!M6</f>
        <v>0</v>
      </c>
      <c r="N6">
        <f>Louisville!N6+SD!N6+ND!N6+Alabama!N6+UNO!N6+KSU!N6+Indiana!N6+Iowa!N6+Washington!N6+MSU!N6+Michigan!N6+Wisconsin!N6+Maryland!N6+Rutgers!N6+Illinois!N6+USC!N6+UCLA!N6+Purdue!N6</f>
        <v>6</v>
      </c>
      <c r="O6" s="1">
        <f t="shared" si="0"/>
        <v>7.792207792207792E-2</v>
      </c>
      <c r="P6">
        <f>Louisville!P6+SD!P6+ND!P6+Alabama!P6+UNO!P6+KSU!P6+Indiana!P6+Iowa!P6+Washington!P6+MSU!P6+Michigan!P6+Wisconsin!P6+Maryland!P6+Rutgers!P6+Illinois!P6+USC!P6+UCLA!P6+Purdue!P6</f>
        <v>0</v>
      </c>
      <c r="Q6">
        <f>Louisville!Q6+SD!Q6+ND!Q6+Alabama!Q6+UNO!Q6+KSU!Q6+Indiana!Q6+Iowa!Q6+Washington!Q6+MSU!Q6+Michigan!Q6+Wisconsin!Q6+Maryland!Q6+Rutgers!Q6+Illinois!Q6+USC!Q6+UCLA!Q6+Purdue!Q6</f>
        <v>3</v>
      </c>
      <c r="R6">
        <f>Louisville!R6+SD!R6+ND!R6+Alabama!R6+UNO!R6+KSU!R6+Indiana!R6+Iowa!R6+Washington!R6+MSU!R6+Michigan!R6+Wisconsin!R6+Maryland!R6+Rutgers!R6+Illinois!R6+USC!R6+UCLA!R6+Purdue!R6</f>
        <v>1</v>
      </c>
      <c r="S6">
        <f>Louisville!S6+SD!S6+ND!S6+Alabama!S6+UNO!S6+KSU!S6+Indiana!S6+Iowa!S6+Washington!S6+MSU!S6+Michigan!S6+Wisconsin!S6+Maryland!S6+Rutgers!S6+Illinois!S6+USC!S6+UCLA!S6+Purdue!S6</f>
        <v>0</v>
      </c>
      <c r="T6">
        <f>Louisville!T6+SD!T6+ND!T6+Alabama!T6+UNO!T6+KSU!T6+Indiana!T6+Iowa!T6+Washington!T6+MSU!T6+Michigan!T6+Wisconsin!T6+Maryland!T6+Rutgers!T6+Illinois!T6+USC!T6+UCLA!T6+Purdue!T6</f>
        <v>0</v>
      </c>
      <c r="U6">
        <f>Louisville!U6+SD!U6+ND!U6+Alabama!U6+UNO!U6+KSU!U6+Indiana!U6+Iowa!U6+Washington!U6+MSU!U6+Michigan!U6+Wisconsin!U6+Maryland!U6+Rutgers!U6+Illinois!U6+USC!U6+UCLA!U6+Purdue!U6</f>
        <v>2</v>
      </c>
      <c r="V6">
        <f>Louisville!V6+SD!V6+ND!V6+Alabama!V6+UNO!V6+KSU!V6+Indiana!V6+Iowa!V6+Washington!V6+MSU!V6+Michigan!V6+Wisconsin!V6+Maryland!V6+Rutgers!V6+Illinois!V6+USC!V6+UCLA!V6+Purdue!V6</f>
        <v>1</v>
      </c>
      <c r="W6">
        <f>Louisville!W6+SD!W6+ND!W6+Alabama!W6+UNO!W6+KSU!W6+Indiana!W6+Iowa!W6+Washington!W6+MSU!W6+Michigan!W6+Wisconsin!W6+Maryland!W6+Rutgers!W6+Illinois!W6+USC!W6+UCLA!W6+Purdue!W6</f>
        <v>8</v>
      </c>
      <c r="X6">
        <f>Louisville!X6+SD!X6+ND!X6+Alabama!X6+UNO!X6+KSU!X6+Indiana!X6+Iowa!X6+Washington!X6+MSU!X6+Michigan!X6+Wisconsin!X6+Maryland!X6+Rutgers!X6+Illinois!X6+USC!X6+UCLA!X6+Purdue!X6</f>
        <v>15</v>
      </c>
      <c r="Y6" s="1">
        <f t="shared" si="1"/>
        <v>0.19480519480519481</v>
      </c>
      <c r="Z6">
        <f>Louisville!Z6+SD!Z6+ND!Z6+Alabama!Z6+UNO!Z6+KSU!Z6+Indiana!Z6+Iowa!Z6+Washington!Z6+MSU!Z6+Michigan!Z6+Wisconsin!Z6+Maryland!Z6+Rutgers!Z6+Illinois!Z6+USC!Z6+UCLA!Z6+Purdue!Z6</f>
        <v>21</v>
      </c>
      <c r="AA6" s="1">
        <f t="shared" si="2"/>
        <v>0.27272727272727271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77&lt;/td&gt;&lt;td&gt;0&lt;/td&gt;&lt;td&gt;0&lt;/td&gt;&lt;td&gt;0&lt;/td&gt;&lt;td&gt;0&lt;/td&gt;&lt;td&gt;0&lt;/td&gt;&lt;td&gt;2&lt;/td&gt;&lt;td&gt;2&lt;/td&gt;&lt;td&gt;1&lt;/td&gt;&lt;td&gt;1&lt;/td&gt;&lt;td&gt;0&lt;/td&gt;&lt;td&gt;0&lt;/td&gt;&lt;td&gt;6&lt;/td&gt;&lt;td&gt;0.08&lt;/td&gt;&lt;td&gt;21&lt;/td&gt;&lt;td&gt;0.27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77&lt;/td&gt;&lt;td&gt;0&lt;/td&gt;&lt;td&gt;3&lt;/td&gt;&lt;td&gt;1&lt;/td&gt;&lt;td&gt;0&lt;/td&gt;&lt;td&gt;0&lt;/td&gt;&lt;td&gt;2&lt;/td&gt;&lt;td&gt;1&lt;/td&gt;&lt;td&gt;8&lt;/td&gt;&lt;td&gt;15&lt;/td&gt;&lt;td&gt;0.19&lt;/td&gt;&lt;td&gt;21&lt;/td&gt;&lt;td&gt;0.27&lt;/td&gt;&lt;/tr&gt;</v>
      </c>
    </row>
    <row r="7" spans="1:46" x14ac:dyDescent="0.3">
      <c r="A7" t="s">
        <v>30</v>
      </c>
      <c r="B7">
        <f>Louisville!B7+SD!B7+ND!B7+Alabama!B7+UNO!B7+KSU!B7+Indiana!B7+Iowa!B7+Washington!B7+MSU!B7+Michigan!B7+Wisconsin!B7+Maryland!B7+Rutgers!B7+Illinois!B7+USC!B7+UCLA!B7+Purdue!B7</f>
        <v>857</v>
      </c>
      <c r="C7">
        <f>Louisville!C7+SD!C7+ND!C7+Alabama!C7+UNO!C7+KSU!C7+Indiana!C7+Iowa!C7+Washington!C7+MSU!C7+Michigan!C7+Wisconsin!C7+Maryland!C7+Rutgers!C7+Illinois!C7+USC!C7+UCLA!C7+Purdue!C7</f>
        <v>1</v>
      </c>
      <c r="D7">
        <f>Louisville!D7+SD!D7+ND!D7+Alabama!D7+UNO!D7+KSU!D7+Indiana!D7+Iowa!D7+Washington!D7+MSU!D7+Michigan!D7+Wisconsin!D7+Maryland!D7+Rutgers!D7+Illinois!D7+USC!D7+UCLA!D7+Purdue!D7</f>
        <v>0</v>
      </c>
      <c r="E7">
        <f>Louisville!E7+SD!E7+ND!E7+Alabama!E7+UNO!E7+KSU!E7+Indiana!E7+Iowa!E7+Washington!E7+MSU!E7+Michigan!E7+Wisconsin!E7+Maryland!E7+Rutgers!E7+Illinois!E7+USC!E7+UCLA!E7+Purdue!E7</f>
        <v>4</v>
      </c>
      <c r="F7">
        <f>Louisville!F7+SD!F7+ND!F7+Alabama!F7+UNO!F7+KSU!F7+Indiana!F7+Iowa!F7+Washington!F7+MSU!F7+Michigan!F7+Wisconsin!F7+Maryland!F7+Rutgers!F7+Illinois!F7+USC!F7+UCLA!F7+Purdue!F7</f>
        <v>48</v>
      </c>
      <c r="G7">
        <f>Louisville!G7+SD!G7+ND!G7+Alabama!G7+UNO!G7+KSU!G7+Indiana!G7+Iowa!G7+Washington!G7+MSU!G7+Michigan!G7+Wisconsin!G7+Maryland!G7+Rutgers!G7+Illinois!G7+USC!G7+UCLA!G7+Purdue!G7</f>
        <v>0</v>
      </c>
      <c r="H7">
        <f>Louisville!H7+SD!H7+ND!H7+Alabama!H7+UNO!H7+KSU!H7+Indiana!H7+Iowa!H7+Washington!H7+MSU!H7+Michigan!H7+Wisconsin!H7+Maryland!H7+Rutgers!H7+Illinois!H7+USC!H7+UCLA!H7+Purdue!H7</f>
        <v>12</v>
      </c>
      <c r="I7">
        <f>Louisville!I7+SD!I7+ND!I7+Alabama!I7+UNO!I7+KSU!I7+Indiana!I7+Iowa!I7+Washington!I7+MSU!I7+Michigan!I7+Wisconsin!I7+Maryland!I7+Rutgers!I7+Illinois!I7+USC!I7+UCLA!I7+Purdue!I7</f>
        <v>18</v>
      </c>
      <c r="J7">
        <f>Louisville!J7+SD!J7+ND!J7+Alabama!J7+UNO!J7+KSU!J7+Indiana!J7+Iowa!J7+Washington!J7+MSU!J7+Michigan!J7+Wisconsin!J7+Maryland!J7+Rutgers!J7+Illinois!J7+USC!J7+UCLA!J7+Purdue!J7</f>
        <v>4</v>
      </c>
      <c r="K7">
        <f>Louisville!K7+SD!K7+ND!K7+Alabama!K7+UNO!K7+KSU!K7+Indiana!K7+Iowa!K7+Washington!K7+MSU!K7+Michigan!K7+Wisconsin!K7+Maryland!K7+Rutgers!K7+Illinois!K7+USC!K7+UCLA!K7+Purdue!K7</f>
        <v>5</v>
      </c>
      <c r="L7">
        <f>Louisville!L7+SD!L7+ND!L7+Alabama!L7+UNO!L7+KSU!L7+Indiana!L7+Iowa!L7+Washington!L7+MSU!L7+Michigan!L7+Wisconsin!L7+Maryland!L7+Rutgers!L7+Illinois!L7+USC!L7+UCLA!L7+Purdue!L7</f>
        <v>8</v>
      </c>
      <c r="M7">
        <f>Louisville!M7+SD!M7+ND!M7+Alabama!M7+UNO!M7+KSU!M7+Indiana!M7+Iowa!M7+Washington!M7+MSU!M7+Michigan!M7+Wisconsin!M7+Maryland!M7+Rutgers!M7+Illinois!M7+USC!M7+UCLA!M7+Purdue!M7</f>
        <v>2</v>
      </c>
      <c r="N7">
        <f>Louisville!N7+SD!N7+ND!N7+Alabama!N7+UNO!N7+KSU!N7+Indiana!N7+Iowa!N7+Washington!N7+MSU!N7+Michigan!N7+Wisconsin!N7+Maryland!N7+Rutgers!N7+Illinois!N7+USC!N7+UCLA!N7+Purdue!N7</f>
        <v>102</v>
      </c>
      <c r="O7" s="1">
        <f t="shared" si="0"/>
        <v>0.11901983663943991</v>
      </c>
      <c r="P7">
        <f>Louisville!P7+SD!P7+ND!P7+Alabama!P7+UNO!P7+KSU!P7+Indiana!P7+Iowa!P7+Washington!P7+MSU!P7+Michigan!P7+Wisconsin!P7+Maryland!P7+Rutgers!P7+Illinois!P7+USC!P7+UCLA!P7+Purdue!P7</f>
        <v>30</v>
      </c>
      <c r="Q7">
        <f>Louisville!Q7+SD!Q7+ND!Q7+Alabama!Q7+UNO!Q7+KSU!Q7+Indiana!Q7+Iowa!Q7+Washington!Q7+MSU!Q7+Michigan!Q7+Wisconsin!Q7+Maryland!Q7+Rutgers!Q7+Illinois!Q7+USC!Q7+UCLA!Q7+Purdue!Q7</f>
        <v>46</v>
      </c>
      <c r="R7">
        <f>Louisville!R7+SD!R7+ND!R7+Alabama!R7+UNO!R7+KSU!R7+Indiana!R7+Iowa!R7+Washington!R7+MSU!R7+Michigan!R7+Wisconsin!R7+Maryland!R7+Rutgers!R7+Illinois!R7+USC!R7+UCLA!R7+Purdue!R7</f>
        <v>25</v>
      </c>
      <c r="S7">
        <f>Louisville!S7+SD!S7+ND!S7+Alabama!S7+UNO!S7+KSU!S7+Indiana!S7+Iowa!S7+Washington!S7+MSU!S7+Michigan!S7+Wisconsin!S7+Maryland!S7+Rutgers!S7+Illinois!S7+USC!S7+UCLA!S7+Purdue!S7</f>
        <v>17</v>
      </c>
      <c r="T7">
        <f>Louisville!T7+SD!T7+ND!T7+Alabama!T7+UNO!T7+KSU!T7+Indiana!T7+Iowa!T7+Washington!T7+MSU!T7+Michigan!T7+Wisconsin!T7+Maryland!T7+Rutgers!T7+Illinois!T7+USC!T7+UCLA!T7+Purdue!T7</f>
        <v>12</v>
      </c>
      <c r="U7">
        <f>Louisville!U7+SD!U7+ND!U7+Alabama!U7+UNO!U7+KSU!U7+Indiana!U7+Iowa!U7+Washington!U7+MSU!U7+Michigan!U7+Wisconsin!U7+Maryland!U7+Rutgers!U7+Illinois!U7+USC!U7+UCLA!U7+Purdue!U7</f>
        <v>5</v>
      </c>
      <c r="V7">
        <f>Louisville!V7+SD!V7+ND!V7+Alabama!V7+UNO!V7+KSU!V7+Indiana!V7+Iowa!V7+Washington!V7+MSU!V7+Michigan!V7+Wisconsin!V7+Maryland!V7+Rutgers!V7+Illinois!V7+USC!V7+UCLA!V7+Purdue!V7</f>
        <v>56</v>
      </c>
      <c r="W7">
        <f>Louisville!W7+SD!W7+ND!W7+Alabama!W7+UNO!W7+KSU!W7+Indiana!W7+Iowa!W7+Washington!W7+MSU!W7+Michigan!W7+Wisconsin!W7+Maryland!W7+Rutgers!W7+Illinois!W7+USC!W7+UCLA!W7+Purdue!W7</f>
        <v>41</v>
      </c>
      <c r="X7">
        <f>Louisville!X7+SD!X7+ND!X7+Alabama!X7+UNO!X7+KSU!X7+Indiana!X7+Iowa!X7+Washington!X7+MSU!X7+Michigan!X7+Wisconsin!X7+Maryland!X7+Rutgers!X7+Illinois!X7+USC!X7+UCLA!X7+Purdue!X7</f>
        <v>232</v>
      </c>
      <c r="Y7" s="1">
        <f t="shared" si="1"/>
        <v>0.27071178529754958</v>
      </c>
      <c r="Z7">
        <f>Louisville!Z7+SD!Z7+ND!Z7+Alabama!Z7+UNO!Z7+KSU!Z7+Indiana!Z7+Iowa!Z7+Washington!Z7+MSU!Z7+Michigan!Z7+Wisconsin!Z7+Maryland!Z7+Rutgers!Z7+Illinois!Z7+USC!Z7+UCLA!Z7+Purdue!Z7</f>
        <v>334</v>
      </c>
      <c r="AA7" s="1">
        <f t="shared" si="2"/>
        <v>0.38973162193698951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857&lt;/td&gt;&lt;td&gt;1&lt;/td&gt;&lt;td&gt;0&lt;/td&gt;&lt;td&gt;4&lt;/td&gt;&lt;td&gt;48&lt;/td&gt;&lt;td&gt;0&lt;/td&gt;&lt;td&gt;12&lt;/td&gt;&lt;td&gt;18&lt;/td&gt;&lt;td&gt;4&lt;/td&gt;&lt;td&gt;5&lt;/td&gt;&lt;td&gt;8&lt;/td&gt;&lt;td&gt;2&lt;/td&gt;&lt;td&gt;102&lt;/td&gt;&lt;td&gt;0.12&lt;/td&gt;&lt;td&gt;334&lt;/td&gt;&lt;td&gt;0.39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857&lt;/td&gt;&lt;td&gt;30&lt;/td&gt;&lt;td&gt;46&lt;/td&gt;&lt;td&gt;25&lt;/td&gt;&lt;td&gt;17&lt;/td&gt;&lt;td&gt;12&lt;/td&gt;&lt;td&gt;5&lt;/td&gt;&lt;td&gt;56&lt;/td&gt;&lt;td&gt;41&lt;/td&gt;&lt;td&gt;232&lt;/td&gt;&lt;td&gt;0.27&lt;/td&gt;&lt;td&gt;334&lt;/td&gt;&lt;td&gt;0.39&lt;/td&gt;&lt;/tr&gt;</v>
      </c>
    </row>
    <row r="8" spans="1:46" ht="13.5" customHeight="1" x14ac:dyDescent="0.3">
      <c r="A8" t="s">
        <v>31</v>
      </c>
      <c r="B8">
        <f>Louisville!B8+SD!B8+ND!B8+Alabama!B8+UNO!B8+KSU!B8+Indiana!B8+Iowa!B8+Washington!B8+MSU!B8+Michigan!B8+Wisconsin!B8+Maryland!B8+Rutgers!B8+Illinois!B8+USC!B8+UCLA!B8+Purdue!B8</f>
        <v>84</v>
      </c>
      <c r="C8">
        <f>Louisville!C8+SD!C8+ND!C8+Alabama!C8+UNO!C8+KSU!C8+Indiana!C8+Iowa!C8+Washington!C8+MSU!C8+Michigan!C8+Wisconsin!C8+Maryland!C8+Rutgers!C8+Illinois!C8+USC!C8+UCLA!C8+Purdue!C8</f>
        <v>0</v>
      </c>
      <c r="D8">
        <f>Louisville!D8+SD!D8+ND!D8+Alabama!D8+UNO!D8+KSU!D8+Indiana!D8+Iowa!D8+Washington!D8+MSU!D8+Michigan!D8+Wisconsin!D8+Maryland!D8+Rutgers!D8+Illinois!D8+USC!D8+UCLA!D8+Purdue!D8</f>
        <v>0</v>
      </c>
      <c r="E8">
        <f>Louisville!E8+SD!E8+ND!E8+Alabama!E8+UNO!E8+KSU!E8+Indiana!E8+Iowa!E8+Washington!E8+MSU!E8+Michigan!E8+Wisconsin!E8+Maryland!E8+Rutgers!E8+Illinois!E8+USC!E8+UCLA!E8+Purdue!E8</f>
        <v>1</v>
      </c>
      <c r="F8">
        <f>Louisville!F8+SD!F8+ND!F8+Alabama!F8+UNO!F8+KSU!F8+Indiana!F8+Iowa!F8+Washington!F8+MSU!F8+Michigan!F8+Wisconsin!F8+Maryland!F8+Rutgers!F8+Illinois!F8+USC!F8+UCLA!F8+Purdue!F8</f>
        <v>3</v>
      </c>
      <c r="G8">
        <f>Louisville!G8+SD!G8+ND!G8+Alabama!G8+UNO!G8+KSU!G8+Indiana!G8+Iowa!G8+Washington!G8+MSU!G8+Michigan!G8+Wisconsin!G8+Maryland!G8+Rutgers!G8+Illinois!G8+USC!G8+UCLA!G8+Purdue!G8</f>
        <v>1</v>
      </c>
      <c r="H8">
        <f>Louisville!H8+SD!H8+ND!H8+Alabama!H8+UNO!H8+KSU!H8+Indiana!H8+Iowa!H8+Washington!H8+MSU!H8+Michigan!H8+Wisconsin!H8+Maryland!H8+Rutgers!H8+Illinois!H8+USC!H8+UCLA!H8+Purdue!H8</f>
        <v>1</v>
      </c>
      <c r="I8">
        <f>Louisville!I8+SD!I8+ND!I8+Alabama!I8+UNO!I8+KSU!I8+Indiana!I8+Iowa!I8+Washington!I8+MSU!I8+Michigan!I8+Wisconsin!I8+Maryland!I8+Rutgers!I8+Illinois!I8+USC!I8+UCLA!I8+Purdue!I8</f>
        <v>2</v>
      </c>
      <c r="J8">
        <f>Louisville!J8+SD!J8+ND!J8+Alabama!J8+UNO!J8+KSU!J8+Indiana!J8+Iowa!J8+Washington!J8+MSU!J8+Michigan!J8+Wisconsin!J8+Maryland!J8+Rutgers!J8+Illinois!J8+USC!J8+UCLA!J8+Purdue!J8</f>
        <v>0</v>
      </c>
      <c r="K8">
        <f>Louisville!K8+SD!K8+ND!K8+Alabama!K8+UNO!K8+KSU!K8+Indiana!K8+Iowa!K8+Washington!K8+MSU!K8+Michigan!K8+Wisconsin!K8+Maryland!K8+Rutgers!K8+Illinois!K8+USC!K8+UCLA!K8+Purdue!K8</f>
        <v>2</v>
      </c>
      <c r="L8">
        <f>Louisville!L8+SD!L8+ND!L8+Alabama!L8+UNO!L8+KSU!L8+Indiana!L8+Iowa!L8+Washington!L8+MSU!L8+Michigan!L8+Wisconsin!L8+Maryland!L8+Rutgers!L8+Illinois!L8+USC!L8+UCLA!L8+Purdue!L8</f>
        <v>2</v>
      </c>
      <c r="M8">
        <f>Louisville!M8+SD!M8+ND!M8+Alabama!M8+UNO!M8+KSU!M8+Indiana!M8+Iowa!M8+Washington!M8+MSU!M8+Michigan!M8+Wisconsin!M8+Maryland!M8+Rutgers!M8+Illinois!M8+USC!M8+UCLA!M8+Purdue!M8</f>
        <v>1</v>
      </c>
      <c r="N8">
        <f>Louisville!N8+SD!N8+ND!N8+Alabama!N8+UNO!N8+KSU!N8+Indiana!N8+Iowa!N8+Washington!N8+MSU!N8+Michigan!N8+Wisconsin!N8+Maryland!N8+Rutgers!N8+Illinois!N8+USC!N8+UCLA!N8+Purdue!N8</f>
        <v>13</v>
      </c>
      <c r="O8" s="1">
        <f t="shared" si="0"/>
        <v>0.15476190476190477</v>
      </c>
      <c r="P8">
        <f>Louisville!P8+SD!P8+ND!P8+Alabama!P8+UNO!P8+KSU!P8+Indiana!P8+Iowa!P8+Washington!P8+MSU!P8+Michigan!P8+Wisconsin!P8+Maryland!P8+Rutgers!P8+Illinois!P8+USC!P8+UCLA!P8+Purdue!P8</f>
        <v>3</v>
      </c>
      <c r="Q8">
        <f>Louisville!Q8+SD!Q8+ND!Q8+Alabama!Q8+UNO!Q8+KSU!Q8+Indiana!Q8+Iowa!Q8+Washington!Q8+MSU!Q8+Michigan!Q8+Wisconsin!Q8+Maryland!Q8+Rutgers!Q8+Illinois!Q8+USC!Q8+UCLA!Q8+Purdue!Q8</f>
        <v>2</v>
      </c>
      <c r="R8">
        <f>Louisville!R8+SD!R8+ND!R8+Alabama!R8+UNO!R8+KSU!R8+Indiana!R8+Iowa!R8+Washington!R8+MSU!R8+Michigan!R8+Wisconsin!R8+Maryland!R8+Rutgers!R8+Illinois!R8+USC!R8+UCLA!R8+Purdue!R8</f>
        <v>3</v>
      </c>
      <c r="S8">
        <f>Louisville!S8+SD!S8+ND!S8+Alabama!S8+UNO!S8+KSU!S8+Indiana!S8+Iowa!S8+Washington!S8+MSU!S8+Michigan!S8+Wisconsin!S8+Maryland!S8+Rutgers!S8+Illinois!S8+USC!S8+UCLA!S8+Purdue!S8</f>
        <v>1</v>
      </c>
      <c r="T8">
        <f>Louisville!T8+SD!T8+ND!T8+Alabama!T8+UNO!T8+KSU!T8+Indiana!T8+Iowa!T8+Washington!T8+MSU!T8+Michigan!T8+Wisconsin!T8+Maryland!T8+Rutgers!T8+Illinois!T8+USC!T8+UCLA!T8+Purdue!T8</f>
        <v>0</v>
      </c>
      <c r="U8">
        <f>Louisville!U8+SD!U8+ND!U8+Alabama!U8+UNO!U8+KSU!U8+Indiana!U8+Iowa!U8+Washington!U8+MSU!U8+Michigan!U8+Wisconsin!U8+Maryland!U8+Rutgers!U8+Illinois!U8+USC!U8+UCLA!U8+Purdue!U8</f>
        <v>0</v>
      </c>
      <c r="V8">
        <f>Louisville!V8+SD!V8+ND!V8+Alabama!V8+UNO!V8+KSU!V8+Indiana!V8+Iowa!V8+Washington!V8+MSU!V8+Michigan!V8+Wisconsin!V8+Maryland!V8+Rutgers!V8+Illinois!V8+USC!V8+UCLA!V8+Purdue!V8</f>
        <v>2</v>
      </c>
      <c r="W8">
        <f>Louisville!W8+SD!W8+ND!W8+Alabama!W8+UNO!W8+KSU!W8+Indiana!W8+Iowa!W8+Washington!W8+MSU!W8+Michigan!W8+Wisconsin!W8+Maryland!W8+Rutgers!W8+Illinois!W8+USC!W8+UCLA!W8+Purdue!W8</f>
        <v>6</v>
      </c>
      <c r="X8">
        <f>Louisville!X8+SD!X8+ND!X8+Alabama!X8+UNO!X8+KSU!X8+Indiana!X8+Iowa!X8+Washington!X8+MSU!X8+Michigan!X8+Wisconsin!X8+Maryland!X8+Rutgers!X8+Illinois!X8+USC!X8+UCLA!X8+Purdue!X8</f>
        <v>17</v>
      </c>
      <c r="Y8" s="1">
        <f t="shared" si="1"/>
        <v>0.20238095238095238</v>
      </c>
      <c r="Z8">
        <f>Louisville!Z8+SD!Z8+ND!Z8+Alabama!Z8+UNO!Z8+KSU!Z8+Indiana!Z8+Iowa!Z8+Washington!Z8+MSU!Z8+Michigan!Z8+Wisconsin!Z8+Maryland!Z8+Rutgers!Z8+Illinois!Z8+USC!Z8+UCLA!Z8+Purdue!Z8</f>
        <v>30</v>
      </c>
      <c r="AA8" s="1">
        <f t="shared" si="2"/>
        <v>0.35714285714285715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84&lt;/td&gt;&lt;td&gt;0&lt;/td&gt;&lt;td&gt;0&lt;/td&gt;&lt;td&gt;1&lt;/td&gt;&lt;td&gt;3&lt;/td&gt;&lt;td&gt;1&lt;/td&gt;&lt;td&gt;1&lt;/td&gt;&lt;td&gt;2&lt;/td&gt;&lt;td&gt;0&lt;/td&gt;&lt;td&gt;2&lt;/td&gt;&lt;td&gt;2&lt;/td&gt;&lt;td&gt;1&lt;/td&gt;&lt;td&gt;13&lt;/td&gt;&lt;td&gt;0.15&lt;/td&gt;&lt;td&gt;30&lt;/td&gt;&lt;td&gt;0.36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84&lt;/td&gt;&lt;td&gt;3&lt;/td&gt;&lt;td&gt;2&lt;/td&gt;&lt;td&gt;3&lt;/td&gt;&lt;td&gt;1&lt;/td&gt;&lt;td&gt;0&lt;/td&gt;&lt;td&gt;0&lt;/td&gt;&lt;td&gt;2&lt;/td&gt;&lt;td&gt;6&lt;/td&gt;&lt;td&gt;17&lt;/td&gt;&lt;td&gt;0.20&lt;/td&gt;&lt;td&gt;30&lt;/td&gt;&lt;td&gt;0.36&lt;/td&gt;&lt;/tr&gt;</v>
      </c>
    </row>
    <row r="9" spans="1:46" x14ac:dyDescent="0.3">
      <c r="A9" t="s">
        <v>32</v>
      </c>
      <c r="B9">
        <f>Louisville!B9+SD!B9+ND!B9+Alabama!B9+UNO!B9+KSU!B9+Indiana!B9+Iowa!B9+Washington!B9+MSU!B9+Michigan!B9+Wisconsin!B9+Maryland!B9+Rutgers!B9+Illinois!B9+USC!B9+UCLA!B9+Purdue!B9</f>
        <v>338</v>
      </c>
      <c r="C9">
        <f>Louisville!C9+SD!C9+ND!C9+Alabama!C9+UNO!C9+KSU!C9+Indiana!C9+Iowa!C9+Washington!C9+MSU!C9+Michigan!C9+Wisconsin!C9+Maryland!C9+Rutgers!C9+Illinois!C9+USC!C9+UCLA!C9+Purdue!C9</f>
        <v>1</v>
      </c>
      <c r="D9">
        <f>Louisville!D9+SD!D9+ND!D9+Alabama!D9+UNO!D9+KSU!D9+Indiana!D9+Iowa!D9+Washington!D9+MSU!D9+Michigan!D9+Wisconsin!D9+Maryland!D9+Rutgers!D9+Illinois!D9+USC!D9+UCLA!D9+Purdue!D9</f>
        <v>1</v>
      </c>
      <c r="E9">
        <f>Louisville!E9+SD!E9+ND!E9+Alabama!E9+UNO!E9+KSU!E9+Indiana!E9+Iowa!E9+Washington!E9+MSU!E9+Michigan!E9+Wisconsin!E9+Maryland!E9+Rutgers!E9+Illinois!E9+USC!E9+UCLA!E9+Purdue!E9</f>
        <v>1</v>
      </c>
      <c r="F9">
        <f>Louisville!F9+SD!F9+ND!F9+Alabama!F9+UNO!F9+KSU!F9+Indiana!F9+Iowa!F9+Washington!F9+MSU!F9+Michigan!F9+Wisconsin!F9+Maryland!F9+Rutgers!F9+Illinois!F9+USC!F9+UCLA!F9+Purdue!F9</f>
        <v>20</v>
      </c>
      <c r="G9">
        <f>Louisville!G9+SD!G9+ND!G9+Alabama!G9+UNO!G9+KSU!G9+Indiana!G9+Iowa!G9+Washington!G9+MSU!G9+Michigan!G9+Wisconsin!G9+Maryland!G9+Rutgers!G9+Illinois!G9+USC!G9+UCLA!G9+Purdue!G9</f>
        <v>0</v>
      </c>
      <c r="H9">
        <f>Louisville!H9+SD!H9+ND!H9+Alabama!H9+UNO!H9+KSU!H9+Indiana!H9+Iowa!H9+Washington!H9+MSU!H9+Michigan!H9+Wisconsin!H9+Maryland!H9+Rutgers!H9+Illinois!H9+USC!H9+UCLA!H9+Purdue!H9</f>
        <v>3</v>
      </c>
      <c r="I9">
        <f>Louisville!I9+SD!I9+ND!I9+Alabama!I9+UNO!I9+KSU!I9+Indiana!I9+Iowa!I9+Washington!I9+MSU!I9+Michigan!I9+Wisconsin!I9+Maryland!I9+Rutgers!I9+Illinois!I9+USC!I9+UCLA!I9+Purdue!I9</f>
        <v>12</v>
      </c>
      <c r="J9">
        <f>Louisville!J9+SD!J9+ND!J9+Alabama!J9+UNO!J9+KSU!J9+Indiana!J9+Iowa!J9+Washington!J9+MSU!J9+Michigan!J9+Wisconsin!J9+Maryland!J9+Rutgers!J9+Illinois!J9+USC!J9+UCLA!J9+Purdue!J9</f>
        <v>3</v>
      </c>
      <c r="K9">
        <f>Louisville!K9+SD!K9+ND!K9+Alabama!K9+UNO!K9+KSU!K9+Indiana!K9+Iowa!K9+Washington!K9+MSU!K9+Michigan!K9+Wisconsin!K9+Maryland!K9+Rutgers!K9+Illinois!K9+USC!K9+UCLA!K9+Purdue!K9</f>
        <v>13</v>
      </c>
      <c r="L9">
        <f>Louisville!L9+SD!L9+ND!L9+Alabama!L9+UNO!L9+KSU!L9+Indiana!L9+Iowa!L9+Washington!L9+MSU!L9+Michigan!L9+Wisconsin!L9+Maryland!L9+Rutgers!L9+Illinois!L9+USC!L9+UCLA!L9+Purdue!L9</f>
        <v>1</v>
      </c>
      <c r="M9">
        <f>Louisville!M9+SD!M9+ND!M9+Alabama!M9+UNO!M9+KSU!M9+Indiana!M9+Iowa!M9+Washington!M9+MSU!M9+Michigan!M9+Wisconsin!M9+Maryland!M9+Rutgers!M9+Illinois!M9+USC!M9+UCLA!M9+Purdue!M9</f>
        <v>2</v>
      </c>
      <c r="N9">
        <f>Louisville!N9+SD!N9+ND!N9+Alabama!N9+UNO!N9+KSU!N9+Indiana!N9+Iowa!N9+Washington!N9+MSU!N9+Michigan!N9+Wisconsin!N9+Maryland!N9+Rutgers!N9+Illinois!N9+USC!N9+UCLA!N9+Purdue!N9</f>
        <v>57</v>
      </c>
      <c r="O9" s="1">
        <f t="shared" si="0"/>
        <v>0.16863905325443787</v>
      </c>
      <c r="P9">
        <f>Louisville!P9+SD!P9+ND!P9+Alabama!P9+UNO!P9+KSU!P9+Indiana!P9+Iowa!P9+Washington!P9+MSU!P9+Michigan!P9+Wisconsin!P9+Maryland!P9+Rutgers!P9+Illinois!P9+USC!P9+UCLA!P9+Purdue!P9</f>
        <v>4</v>
      </c>
      <c r="Q9">
        <f>Louisville!Q9+SD!Q9+ND!Q9+Alabama!Q9+UNO!Q9+KSU!Q9+Indiana!Q9+Iowa!Q9+Washington!Q9+MSU!Q9+Michigan!Q9+Wisconsin!Q9+Maryland!Q9+Rutgers!Q9+Illinois!Q9+USC!Q9+UCLA!Q9+Purdue!Q9</f>
        <v>21</v>
      </c>
      <c r="R9">
        <f>Louisville!R9+SD!R9+ND!R9+Alabama!R9+UNO!R9+KSU!R9+Indiana!R9+Iowa!R9+Washington!R9+MSU!R9+Michigan!R9+Wisconsin!R9+Maryland!R9+Rutgers!R9+Illinois!R9+USC!R9+UCLA!R9+Purdue!R9</f>
        <v>10</v>
      </c>
      <c r="S9">
        <f>Louisville!S9+SD!S9+ND!S9+Alabama!S9+UNO!S9+KSU!S9+Indiana!S9+Iowa!S9+Washington!S9+MSU!S9+Michigan!S9+Wisconsin!S9+Maryland!S9+Rutgers!S9+Illinois!S9+USC!S9+UCLA!S9+Purdue!S9</f>
        <v>0</v>
      </c>
      <c r="T9">
        <f>Louisville!T9+SD!T9+ND!T9+Alabama!T9+UNO!T9+KSU!T9+Indiana!T9+Iowa!T9+Washington!T9+MSU!T9+Michigan!T9+Wisconsin!T9+Maryland!T9+Rutgers!T9+Illinois!T9+USC!T9+UCLA!T9+Purdue!T9</f>
        <v>4</v>
      </c>
      <c r="U9">
        <f>Louisville!U9+SD!U9+ND!U9+Alabama!U9+UNO!U9+KSU!U9+Indiana!U9+Iowa!U9+Washington!U9+MSU!U9+Michigan!U9+Wisconsin!U9+Maryland!U9+Rutgers!U9+Illinois!U9+USC!U9+UCLA!U9+Purdue!U9</f>
        <v>5</v>
      </c>
      <c r="V9">
        <f>Louisville!V9+SD!V9+ND!V9+Alabama!V9+UNO!V9+KSU!V9+Indiana!V9+Iowa!V9+Washington!V9+MSU!V9+Michigan!V9+Wisconsin!V9+Maryland!V9+Rutgers!V9+Illinois!V9+USC!V9+UCLA!V9+Purdue!V9</f>
        <v>19</v>
      </c>
      <c r="W9">
        <f>Louisville!W9+SD!W9+ND!W9+Alabama!W9+UNO!W9+KSU!W9+Indiana!W9+Iowa!W9+Washington!W9+MSU!W9+Michigan!W9+Wisconsin!W9+Maryland!W9+Rutgers!W9+Illinois!W9+USC!W9+UCLA!W9+Purdue!W9</f>
        <v>17</v>
      </c>
      <c r="X9">
        <f>Louisville!X9+SD!X9+ND!X9+Alabama!X9+UNO!X9+KSU!X9+Indiana!X9+Iowa!X9+Washington!X9+MSU!X9+Michigan!X9+Wisconsin!X9+Maryland!X9+Rutgers!X9+Illinois!X9+USC!X9+UCLA!X9+Purdue!X9</f>
        <v>80</v>
      </c>
      <c r="Y9" s="1">
        <f t="shared" si="1"/>
        <v>0.23668639053254437</v>
      </c>
      <c r="Z9">
        <f>Louisville!Z9+SD!Z9+ND!Z9+Alabama!Z9+UNO!Z9+KSU!Z9+Indiana!Z9+Iowa!Z9+Washington!Z9+MSU!Z9+Michigan!Z9+Wisconsin!Z9+Maryland!Z9+Rutgers!Z9+Illinois!Z9+USC!Z9+UCLA!Z9+Purdue!Z9</f>
        <v>137</v>
      </c>
      <c r="AA9" s="1">
        <f t="shared" si="2"/>
        <v>0.40532544378698226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338&lt;/td&gt;&lt;td&gt;1&lt;/td&gt;&lt;td&gt;1&lt;/td&gt;&lt;td&gt;1&lt;/td&gt;&lt;td&gt;20&lt;/td&gt;&lt;td&gt;0&lt;/td&gt;&lt;td&gt;3&lt;/td&gt;&lt;td&gt;12&lt;/td&gt;&lt;td&gt;3&lt;/td&gt;&lt;td&gt;13&lt;/td&gt;&lt;td&gt;1&lt;/td&gt;&lt;td&gt;2&lt;/td&gt;&lt;td&gt;57&lt;/td&gt;&lt;td&gt;0.17&lt;/td&gt;&lt;td&gt;137&lt;/td&gt;&lt;td&gt;0.41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338&lt;/td&gt;&lt;td&gt;4&lt;/td&gt;&lt;td&gt;21&lt;/td&gt;&lt;td&gt;10&lt;/td&gt;&lt;td&gt;0&lt;/td&gt;&lt;td&gt;4&lt;/td&gt;&lt;td&gt;5&lt;/td&gt;&lt;td&gt;19&lt;/td&gt;&lt;td&gt;17&lt;/td&gt;&lt;td&gt;80&lt;/td&gt;&lt;td&gt;0.24&lt;/td&gt;&lt;td&gt;137&lt;/td&gt;&lt;td&gt;0.41&lt;/td&gt;&lt;/tr&gt;</v>
      </c>
    </row>
    <row r="10" spans="1:46" x14ac:dyDescent="0.3">
      <c r="A10" t="s">
        <v>33</v>
      </c>
      <c r="B10">
        <f>Louisville!B10+SD!B10+ND!B10+Alabama!B10+UNO!B10+KSU!B10+Indiana!B10+Iowa!B10+Washington!B10+MSU!B10+Michigan!B10+Wisconsin!B10+Maryland!B10+Rutgers!B10+Illinois!B10+USC!B10+UCLA!B10+Purdue!B10</f>
        <v>751</v>
      </c>
      <c r="C10">
        <f>Louisville!C10+SD!C10+ND!C10+Alabama!C10+UNO!C10+KSU!C10+Indiana!C10+Iowa!C10+Washington!C10+MSU!C10+Michigan!C10+Wisconsin!C10+Maryland!C10+Rutgers!C10+Illinois!C10+USC!C10+UCLA!C10+Purdue!C10</f>
        <v>1</v>
      </c>
      <c r="D10">
        <f>Louisville!D10+SD!D10+ND!D10+Alabama!D10+UNO!D10+KSU!D10+Indiana!D10+Iowa!D10+Washington!D10+MSU!D10+Michigan!D10+Wisconsin!D10+Maryland!D10+Rutgers!D10+Illinois!D10+USC!D10+UCLA!D10+Purdue!D10</f>
        <v>2</v>
      </c>
      <c r="E10">
        <f>Louisville!E10+SD!E10+ND!E10+Alabama!E10+UNO!E10+KSU!E10+Indiana!E10+Iowa!E10+Washington!E10+MSU!E10+Michigan!E10+Wisconsin!E10+Maryland!E10+Rutgers!E10+Illinois!E10+USC!E10+UCLA!E10+Purdue!E10</f>
        <v>6</v>
      </c>
      <c r="F10">
        <f>Louisville!F10+SD!F10+ND!F10+Alabama!F10+UNO!F10+KSU!F10+Indiana!F10+Iowa!F10+Washington!F10+MSU!F10+Michigan!F10+Wisconsin!F10+Maryland!F10+Rutgers!F10+Illinois!F10+USC!F10+UCLA!F10+Purdue!F10</f>
        <v>17</v>
      </c>
      <c r="G10">
        <f>Louisville!G10+SD!G10+ND!G10+Alabama!G10+UNO!G10+KSU!G10+Indiana!G10+Iowa!G10+Washington!G10+MSU!G10+Michigan!G10+Wisconsin!G10+Maryland!G10+Rutgers!G10+Illinois!G10+USC!G10+UCLA!G10+Purdue!G10</f>
        <v>7</v>
      </c>
      <c r="H10">
        <f>Louisville!H10+SD!H10+ND!H10+Alabama!H10+UNO!H10+KSU!H10+Indiana!H10+Iowa!H10+Washington!H10+MSU!H10+Michigan!H10+Wisconsin!H10+Maryland!H10+Rutgers!H10+Illinois!H10+USC!H10+UCLA!H10+Purdue!H10</f>
        <v>5</v>
      </c>
      <c r="I10">
        <f>Louisville!I10+SD!I10+ND!I10+Alabama!I10+UNO!I10+KSU!I10+Indiana!I10+Iowa!I10+Washington!I10+MSU!I10+Michigan!I10+Wisconsin!I10+Maryland!I10+Rutgers!I10+Illinois!I10+USC!I10+UCLA!I10+Purdue!I10</f>
        <v>10</v>
      </c>
      <c r="J10">
        <f>Louisville!J10+SD!J10+ND!J10+Alabama!J10+UNO!J10+KSU!J10+Indiana!J10+Iowa!J10+Washington!J10+MSU!J10+Michigan!J10+Wisconsin!J10+Maryland!J10+Rutgers!J10+Illinois!J10+USC!J10+UCLA!J10+Purdue!J10</f>
        <v>13</v>
      </c>
      <c r="K10">
        <f>Louisville!K10+SD!K10+ND!K10+Alabama!K10+UNO!K10+KSU!K10+Indiana!K10+Iowa!K10+Washington!K10+MSU!K10+Michigan!K10+Wisconsin!K10+Maryland!K10+Rutgers!K10+Illinois!K10+USC!K10+UCLA!K10+Purdue!K10</f>
        <v>14</v>
      </c>
      <c r="L10">
        <f>Louisville!L10+SD!L10+ND!L10+Alabama!L10+UNO!L10+KSU!L10+Indiana!L10+Iowa!L10+Washington!L10+MSU!L10+Michigan!L10+Wisconsin!L10+Maryland!L10+Rutgers!L10+Illinois!L10+USC!L10+UCLA!L10+Purdue!L10</f>
        <v>19</v>
      </c>
      <c r="M10">
        <f>Louisville!M10+SD!M10+ND!M10+Alabama!M10+UNO!M10+KSU!M10+Indiana!M10+Iowa!M10+Washington!M10+MSU!M10+Michigan!M10+Wisconsin!M10+Maryland!M10+Rutgers!M10+Illinois!M10+USC!M10+UCLA!M10+Purdue!M10</f>
        <v>9</v>
      </c>
      <c r="N10">
        <f>Louisville!N10+SD!N10+ND!N10+Alabama!N10+UNO!N10+KSU!N10+Indiana!N10+Iowa!N10+Washington!N10+MSU!N10+Michigan!N10+Wisconsin!N10+Maryland!N10+Rutgers!N10+Illinois!N10+USC!N10+UCLA!N10+Purdue!N10</f>
        <v>96</v>
      </c>
      <c r="O10" s="1">
        <f t="shared" si="0"/>
        <v>0.12782956058588549</v>
      </c>
      <c r="P10">
        <f>Louisville!P10+SD!P10+ND!P10+Alabama!P10+UNO!P10+KSU!P10+Indiana!P10+Iowa!P10+Washington!P10+MSU!P10+Michigan!P10+Wisconsin!P10+Maryland!P10+Rutgers!P10+Illinois!P10+USC!P10+UCLA!P10+Purdue!P10</f>
        <v>15</v>
      </c>
      <c r="Q10">
        <f>Louisville!Q10+SD!Q10+ND!Q10+Alabama!Q10+UNO!Q10+KSU!Q10+Indiana!Q10+Iowa!Q10+Washington!Q10+MSU!Q10+Michigan!Q10+Wisconsin!Q10+Maryland!Q10+Rutgers!Q10+Illinois!Q10+USC!Q10+UCLA!Q10+Purdue!Q10</f>
        <v>13</v>
      </c>
      <c r="R10">
        <f>Louisville!R10+SD!R10+ND!R10+Alabama!R10+UNO!R10+KSU!R10+Indiana!R10+Iowa!R10+Washington!R10+MSU!R10+Michigan!R10+Wisconsin!R10+Maryland!R10+Rutgers!R10+Illinois!R10+USC!R10+UCLA!R10+Purdue!R10</f>
        <v>18</v>
      </c>
      <c r="S10">
        <f>Louisville!S10+SD!S10+ND!S10+Alabama!S10+UNO!S10+KSU!S10+Indiana!S10+Iowa!S10+Washington!S10+MSU!S10+Michigan!S10+Wisconsin!S10+Maryland!S10+Rutgers!S10+Illinois!S10+USC!S10+UCLA!S10+Purdue!S10</f>
        <v>1</v>
      </c>
      <c r="T10">
        <f>Louisville!T10+SD!T10+ND!T10+Alabama!T10+UNO!T10+KSU!T10+Indiana!T10+Iowa!T10+Washington!T10+MSU!T10+Michigan!T10+Wisconsin!T10+Maryland!T10+Rutgers!T10+Illinois!T10+USC!T10+UCLA!T10+Purdue!T10</f>
        <v>6</v>
      </c>
      <c r="U10">
        <f>Louisville!U10+SD!U10+ND!U10+Alabama!U10+UNO!U10+KSU!U10+Indiana!U10+Iowa!U10+Washington!U10+MSU!U10+Michigan!U10+Wisconsin!U10+Maryland!U10+Rutgers!U10+Illinois!U10+USC!U10+UCLA!U10+Purdue!U10</f>
        <v>4</v>
      </c>
      <c r="V10">
        <f>Louisville!V10+SD!V10+ND!V10+Alabama!V10+UNO!V10+KSU!V10+Indiana!V10+Iowa!V10+Washington!V10+MSU!V10+Michigan!V10+Wisconsin!V10+Maryland!V10+Rutgers!V10+Illinois!V10+USC!V10+UCLA!V10+Purdue!V10</f>
        <v>2</v>
      </c>
      <c r="W10">
        <f>Louisville!W10+SD!W10+ND!W10+Alabama!W10+UNO!W10+KSU!W10+Indiana!W10+Iowa!W10+Washington!W10+MSU!W10+Michigan!W10+Wisconsin!W10+Maryland!W10+Rutgers!W10+Illinois!W10+USC!W10+UCLA!W10+Purdue!W10</f>
        <v>20</v>
      </c>
      <c r="X10">
        <f>Louisville!X10+SD!X10+ND!X10+Alabama!X10+UNO!X10+KSU!X10+Indiana!X10+Iowa!X10+Washington!X10+MSU!X10+Michigan!X10+Wisconsin!X10+Maryland!X10+Rutgers!X10+Illinois!X10+USC!X10+UCLA!X10+Purdue!X10</f>
        <v>79</v>
      </c>
      <c r="Y10" s="1">
        <f t="shared" si="1"/>
        <v>0.1051930758988016</v>
      </c>
      <c r="Z10">
        <f>Louisville!Z10+SD!Z10+ND!Z10+Alabama!Z10+UNO!Z10+KSU!Z10+Indiana!Z10+Iowa!Z10+Washington!Z10+MSU!Z10+Michigan!Z10+Wisconsin!Z10+Maryland!Z10+Rutgers!Z10+Illinois!Z10+USC!Z10+UCLA!Z10+Purdue!Z10</f>
        <v>175</v>
      </c>
      <c r="AA10" s="1">
        <f t="shared" si="2"/>
        <v>0.23302263648468707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751&lt;/td&gt;&lt;td&gt;1&lt;/td&gt;&lt;td&gt;2&lt;/td&gt;&lt;td&gt;6&lt;/td&gt;&lt;td&gt;17&lt;/td&gt;&lt;td&gt;7&lt;/td&gt;&lt;td&gt;5&lt;/td&gt;&lt;td&gt;10&lt;/td&gt;&lt;td&gt;13&lt;/td&gt;&lt;td&gt;14&lt;/td&gt;&lt;td&gt;19&lt;/td&gt;&lt;td&gt;9&lt;/td&gt;&lt;td&gt;96&lt;/td&gt;&lt;td&gt;0.13&lt;/td&gt;&lt;td&gt;175&lt;/td&gt;&lt;td&gt;0.23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751&lt;/td&gt;&lt;td&gt;15&lt;/td&gt;&lt;td&gt;13&lt;/td&gt;&lt;td&gt;18&lt;/td&gt;&lt;td&gt;1&lt;/td&gt;&lt;td&gt;6&lt;/td&gt;&lt;td&gt;4&lt;/td&gt;&lt;td&gt;2&lt;/td&gt;&lt;td&gt;20&lt;/td&gt;&lt;td&gt;79&lt;/td&gt;&lt;td&gt;0.11&lt;/td&gt;&lt;td&gt;175&lt;/td&gt;&lt;td&gt;0.23&lt;/td&gt;&lt;/tr&gt;</v>
      </c>
    </row>
    <row r="11" spans="1:46" x14ac:dyDescent="0.3">
      <c r="A11" t="s">
        <v>34</v>
      </c>
      <c r="B11">
        <f>Louisville!B11+SD!B11+ND!B11+Alabama!B11+UNO!B11+KSU!B11+Indiana!B11+Iowa!B11+Washington!B11+MSU!B11+Michigan!B11+Wisconsin!B11+Maryland!B11+Rutgers!B11+Illinois!B11+USC!B11+UCLA!B11+Purdue!B11</f>
        <v>38</v>
      </c>
      <c r="C11">
        <f>Louisville!C11+SD!C11+ND!C11+Alabama!C11+UNO!C11+KSU!C11+Indiana!C11+Iowa!C11+Washington!C11+MSU!C11+Michigan!C11+Wisconsin!C11+Maryland!C11+Rutgers!C11+Illinois!C11+USC!C11+UCLA!C11+Purdue!C11</f>
        <v>0</v>
      </c>
      <c r="D11">
        <f>Louisville!D11+SD!D11+ND!D11+Alabama!D11+UNO!D11+KSU!D11+Indiana!D11+Iowa!D11+Washington!D11+MSU!D11+Michigan!D11+Wisconsin!D11+Maryland!D11+Rutgers!D11+Illinois!D11+USC!D11+UCLA!D11+Purdue!D11</f>
        <v>0</v>
      </c>
      <c r="E11">
        <f>Louisville!E11+SD!E11+ND!E11+Alabama!E11+UNO!E11+KSU!E11+Indiana!E11+Iowa!E11+Washington!E11+MSU!E11+Michigan!E11+Wisconsin!E11+Maryland!E11+Rutgers!E11+Illinois!E11+USC!E11+UCLA!E11+Purdue!E11</f>
        <v>0</v>
      </c>
      <c r="F11">
        <f>Louisville!F11+SD!F11+ND!F11+Alabama!F11+UNO!F11+KSU!F11+Indiana!F11+Iowa!F11+Washington!F11+MSU!F11+Michigan!F11+Wisconsin!F11+Maryland!F11+Rutgers!F11+Illinois!F11+USC!F11+UCLA!F11+Purdue!F11</f>
        <v>0</v>
      </c>
      <c r="G11">
        <f>Louisville!G11+SD!G11+ND!G11+Alabama!G11+UNO!G11+KSU!G11+Indiana!G11+Iowa!G11+Washington!G11+MSU!G11+Michigan!G11+Wisconsin!G11+Maryland!G11+Rutgers!G11+Illinois!G11+USC!G11+UCLA!G11+Purdue!G11</f>
        <v>0</v>
      </c>
      <c r="H11">
        <f>Louisville!H11+SD!H11+ND!H11+Alabama!H11+UNO!H11+KSU!H11+Indiana!H11+Iowa!H11+Washington!H11+MSU!H11+Michigan!H11+Wisconsin!H11+Maryland!H11+Rutgers!H11+Illinois!H11+USC!H11+UCLA!H11+Purdue!H11</f>
        <v>0</v>
      </c>
      <c r="I11">
        <f>Louisville!I11+SD!I11+ND!I11+Alabama!I11+UNO!I11+KSU!I11+Indiana!I11+Iowa!I11+Washington!I11+MSU!I11+Michigan!I11+Wisconsin!I11+Maryland!I11+Rutgers!I11+Illinois!I11+USC!I11+UCLA!I11+Purdue!I11</f>
        <v>0</v>
      </c>
      <c r="J11">
        <f>Louisville!J11+SD!J11+ND!J11+Alabama!J11+UNO!J11+KSU!J11+Indiana!J11+Iowa!J11+Washington!J11+MSU!J11+Michigan!J11+Wisconsin!J11+Maryland!J11+Rutgers!J11+Illinois!J11+USC!J11+UCLA!J11+Purdue!J11</f>
        <v>2</v>
      </c>
      <c r="K11">
        <f>Louisville!K11+SD!K11+ND!K11+Alabama!K11+UNO!K11+KSU!K11+Indiana!K11+Iowa!K11+Washington!K11+MSU!K11+Michigan!K11+Wisconsin!K11+Maryland!K11+Rutgers!K11+Illinois!K11+USC!K11+UCLA!K11+Purdue!K11</f>
        <v>0</v>
      </c>
      <c r="L11">
        <f>Louisville!L11+SD!L11+ND!L11+Alabama!L11+UNO!L11+KSU!L11+Indiana!L11+Iowa!L11+Washington!L11+MSU!L11+Michigan!L11+Wisconsin!L11+Maryland!L11+Rutgers!L11+Illinois!L11+USC!L11+UCLA!L11+Purdue!L11</f>
        <v>0</v>
      </c>
      <c r="M11">
        <f>Louisville!M11+SD!M11+ND!M11+Alabama!M11+UNO!M11+KSU!M11+Indiana!M11+Iowa!M11+Washington!M11+MSU!M11+Michigan!M11+Wisconsin!M11+Maryland!M11+Rutgers!M11+Illinois!M11+USC!M11+UCLA!M11+Purdue!M11</f>
        <v>0</v>
      </c>
      <c r="N11">
        <f>Louisville!N11+SD!N11+ND!N11+Alabama!N11+UNO!N11+KSU!N11+Indiana!N11+Iowa!N11+Washington!N11+MSU!N11+Michigan!N11+Wisconsin!N11+Maryland!N11+Rutgers!N11+Illinois!N11+USC!N11+UCLA!N11+Purdue!N11</f>
        <v>2</v>
      </c>
      <c r="O11" s="1">
        <f t="shared" si="0"/>
        <v>5.2631578947368418E-2</v>
      </c>
      <c r="P11">
        <f>Louisville!P11+SD!P11+ND!P11+Alabama!P11+UNO!P11+KSU!P11+Indiana!P11+Iowa!P11+Washington!P11+MSU!P11+Michigan!P11+Wisconsin!P11+Maryland!P11+Rutgers!P11+Illinois!P11+USC!P11+UCLA!P11+Purdue!P11</f>
        <v>1</v>
      </c>
      <c r="Q11">
        <f>Louisville!Q11+SD!Q11+ND!Q11+Alabama!Q11+UNO!Q11+KSU!Q11+Indiana!Q11+Iowa!Q11+Washington!Q11+MSU!Q11+Michigan!Q11+Wisconsin!Q11+Maryland!Q11+Rutgers!Q11+Illinois!Q11+USC!Q11+UCLA!Q11+Purdue!Q11</f>
        <v>0</v>
      </c>
      <c r="R11">
        <f>Louisville!R11+SD!R11+ND!R11+Alabama!R11+UNO!R11+KSU!R11+Indiana!R11+Iowa!R11+Washington!R11+MSU!R11+Michigan!R11+Wisconsin!R11+Maryland!R11+Rutgers!R11+Illinois!R11+USC!R11+UCLA!R11+Purdue!R11</f>
        <v>0</v>
      </c>
      <c r="S11">
        <f>Louisville!S11+SD!S11+ND!S11+Alabama!S11+UNO!S11+KSU!S11+Indiana!S11+Iowa!S11+Washington!S11+MSU!S11+Michigan!S11+Wisconsin!S11+Maryland!S11+Rutgers!S11+Illinois!S11+USC!S11+UCLA!S11+Purdue!S11</f>
        <v>0</v>
      </c>
      <c r="T11">
        <f>Louisville!T11+SD!T11+ND!T11+Alabama!T11+UNO!T11+KSU!T11+Indiana!T11+Iowa!T11+Washington!T11+MSU!T11+Michigan!T11+Wisconsin!T11+Maryland!T11+Rutgers!T11+Illinois!T11+USC!T11+UCLA!T11+Purdue!T11</f>
        <v>1</v>
      </c>
      <c r="U11">
        <f>Louisville!U11+SD!U11+ND!U11+Alabama!U11+UNO!U11+KSU!U11+Indiana!U11+Iowa!U11+Washington!U11+MSU!U11+Michigan!U11+Wisconsin!U11+Maryland!U11+Rutgers!U11+Illinois!U11+USC!U11+UCLA!U11+Purdue!U11</f>
        <v>0</v>
      </c>
      <c r="V11">
        <f>Louisville!V11+SD!V11+ND!V11+Alabama!V11+UNO!V11+KSU!V11+Indiana!V11+Iowa!V11+Washington!V11+MSU!V11+Michigan!V11+Wisconsin!V11+Maryland!V11+Rutgers!V11+Illinois!V11+USC!V11+UCLA!V11+Purdue!V11</f>
        <v>1</v>
      </c>
      <c r="W11">
        <f>Louisville!W11+SD!W11+ND!W11+Alabama!W11+UNO!W11+KSU!W11+Indiana!W11+Iowa!W11+Washington!W11+MSU!W11+Michigan!W11+Wisconsin!W11+Maryland!W11+Rutgers!W11+Illinois!W11+USC!W11+UCLA!W11+Purdue!W11</f>
        <v>4</v>
      </c>
      <c r="X11">
        <f>Louisville!X11+SD!X11+ND!X11+Alabama!X11+UNO!X11+KSU!X11+Indiana!X11+Iowa!X11+Washington!X11+MSU!X11+Michigan!X11+Wisconsin!X11+Maryland!X11+Rutgers!X11+Illinois!X11+USC!X11+UCLA!X11+Purdue!X11</f>
        <v>7</v>
      </c>
      <c r="Y11" s="1">
        <f t="shared" si="1"/>
        <v>0.18421052631578946</v>
      </c>
      <c r="Z11">
        <f>Louisville!Z11+SD!Z11+ND!Z11+Alabama!Z11+UNO!Z11+KSU!Z11+Indiana!Z11+Iowa!Z11+Washington!Z11+MSU!Z11+Michigan!Z11+Wisconsin!Z11+Maryland!Z11+Rutgers!Z11+Illinois!Z11+USC!Z11+UCLA!Z11+Purdue!Z11</f>
        <v>9</v>
      </c>
      <c r="AA11" s="1">
        <f t="shared" si="2"/>
        <v>0.23684210526315788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38&lt;/td&gt;&lt;td&gt;0&lt;/td&gt;&lt;td&gt;0&lt;/td&gt;&lt;td&gt;0&lt;/td&gt;&lt;td&gt;0&lt;/td&gt;&lt;td&gt;0&lt;/td&gt;&lt;td&gt;0&lt;/td&gt;&lt;td&gt;0&lt;/td&gt;&lt;td&gt;2&lt;/td&gt;&lt;td&gt;0&lt;/td&gt;&lt;td&gt;0&lt;/td&gt;&lt;td&gt;0&lt;/td&gt;&lt;td&gt;2&lt;/td&gt;&lt;td&gt;0.05&lt;/td&gt;&lt;td&gt;9&lt;/td&gt;&lt;td&gt;0.24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38&lt;/td&gt;&lt;td&gt;1&lt;/td&gt;&lt;td&gt;0&lt;/td&gt;&lt;td&gt;0&lt;/td&gt;&lt;td&gt;0&lt;/td&gt;&lt;td&gt;1&lt;/td&gt;&lt;td&gt;0&lt;/td&gt;&lt;td&gt;1&lt;/td&gt;&lt;td&gt;4&lt;/td&gt;&lt;td&gt;7&lt;/td&gt;&lt;td&gt;0.18&lt;/td&gt;&lt;td&gt;9&lt;/td&gt;&lt;td&gt;0.24&lt;/td&gt;&lt;/tr&gt;</v>
      </c>
    </row>
    <row r="12" spans="1:46" x14ac:dyDescent="0.3">
      <c r="A12" t="s">
        <v>35</v>
      </c>
      <c r="B12">
        <f>Louisville!B12+SD!B12+ND!B12+Alabama!B12+UNO!B12+KSU!B12+Indiana!B12+Iowa!B12+Washington!B12+MSU!B12+Michigan!B12+Wisconsin!B12+Maryland!B12+Rutgers!B12+Illinois!B12+USC!B12+UCLA!B12+Purdue!B12</f>
        <v>342</v>
      </c>
      <c r="C12">
        <f>Louisville!C12+SD!C12+ND!C12+Alabama!C12+UNO!C12+KSU!C12+Indiana!C12+Iowa!C12+Washington!C12+MSU!C12+Michigan!C12+Wisconsin!C12+Maryland!C12+Rutgers!C12+Illinois!C12+USC!C12+UCLA!C12+Purdue!C12</f>
        <v>0</v>
      </c>
      <c r="D12">
        <f>Louisville!D12+SD!D12+ND!D12+Alabama!D12+UNO!D12+KSU!D12+Indiana!D12+Iowa!D12+Washington!D12+MSU!D12+Michigan!D12+Wisconsin!D12+Maryland!D12+Rutgers!D12+Illinois!D12+USC!D12+UCLA!D12+Purdue!D12</f>
        <v>0</v>
      </c>
      <c r="E12">
        <f>Louisville!E12+SD!E12+ND!E12+Alabama!E12+UNO!E12+KSU!E12+Indiana!E12+Iowa!E12+Washington!E12+MSU!E12+Michigan!E12+Wisconsin!E12+Maryland!E12+Rutgers!E12+Illinois!E12+USC!E12+UCLA!E12+Purdue!E12</f>
        <v>0</v>
      </c>
      <c r="F12">
        <f>Louisville!F12+SD!F12+ND!F12+Alabama!F12+UNO!F12+KSU!F12+Indiana!F12+Iowa!F12+Washington!F12+MSU!F12+Michigan!F12+Wisconsin!F12+Maryland!F12+Rutgers!F12+Illinois!F12+USC!F12+UCLA!F12+Purdue!F12</f>
        <v>22</v>
      </c>
      <c r="G12">
        <f>Louisville!G12+SD!G12+ND!G12+Alabama!G12+UNO!G12+KSU!G12+Indiana!G12+Iowa!G12+Washington!G12+MSU!G12+Michigan!G12+Wisconsin!G12+Maryland!G12+Rutgers!G12+Illinois!G12+USC!G12+UCLA!G12+Purdue!G12</f>
        <v>1</v>
      </c>
      <c r="H12">
        <f>Louisville!H12+SD!H12+ND!H12+Alabama!H12+UNO!H12+KSU!H12+Indiana!H12+Iowa!H12+Washington!H12+MSU!H12+Michigan!H12+Wisconsin!H12+Maryland!H12+Rutgers!H12+Illinois!H12+USC!H12+UCLA!H12+Purdue!H12</f>
        <v>1</v>
      </c>
      <c r="I12">
        <f>Louisville!I12+SD!I12+ND!I12+Alabama!I12+UNO!I12+KSU!I12+Indiana!I12+Iowa!I12+Washington!I12+MSU!I12+Michigan!I12+Wisconsin!I12+Maryland!I12+Rutgers!I12+Illinois!I12+USC!I12+UCLA!I12+Purdue!I12</f>
        <v>10</v>
      </c>
      <c r="J12">
        <f>Louisville!J12+SD!J12+ND!J12+Alabama!J12+UNO!J12+KSU!J12+Indiana!J12+Iowa!J12+Washington!J12+MSU!J12+Michigan!J12+Wisconsin!J12+Maryland!J12+Rutgers!J12+Illinois!J12+USC!J12+UCLA!J12+Purdue!J12</f>
        <v>1</v>
      </c>
      <c r="K12">
        <f>Louisville!K12+SD!K12+ND!K12+Alabama!K12+UNO!K12+KSU!K12+Indiana!K12+Iowa!K12+Washington!K12+MSU!K12+Michigan!K12+Wisconsin!K12+Maryland!K12+Rutgers!K12+Illinois!K12+USC!K12+UCLA!K12+Purdue!K12</f>
        <v>3</v>
      </c>
      <c r="L12">
        <f>Louisville!L12+SD!L12+ND!L12+Alabama!L12+UNO!L12+KSU!L12+Indiana!L12+Iowa!L12+Washington!L12+MSU!L12+Michigan!L12+Wisconsin!L12+Maryland!L12+Rutgers!L12+Illinois!L12+USC!L12+UCLA!L12+Purdue!L12</f>
        <v>1</v>
      </c>
      <c r="M12">
        <f>Louisville!M12+SD!M12+ND!M12+Alabama!M12+UNO!M12+KSU!M12+Indiana!M12+Iowa!M12+Washington!M12+MSU!M12+Michigan!M12+Wisconsin!M12+Maryland!M12+Rutgers!M12+Illinois!M12+USC!M12+UCLA!M12+Purdue!M12</f>
        <v>0</v>
      </c>
      <c r="N12">
        <f>Louisville!N12+SD!N12+ND!N12+Alabama!N12+UNO!N12+KSU!N12+Indiana!N12+Iowa!N12+Washington!N12+MSU!N12+Michigan!N12+Wisconsin!N12+Maryland!N12+Rutgers!N12+Illinois!N12+USC!N12+UCLA!N12+Purdue!N12</f>
        <v>38</v>
      </c>
      <c r="O12" s="1">
        <f t="shared" si="0"/>
        <v>0.1111111111111111</v>
      </c>
      <c r="P12">
        <f>Louisville!P12+SD!P12+ND!P12+Alabama!P12+UNO!P12+KSU!P12+Indiana!P12+Iowa!P12+Washington!P12+MSU!P12+Michigan!P12+Wisconsin!P12+Maryland!P12+Rutgers!P12+Illinois!P12+USC!P12+UCLA!P12+Purdue!P12</f>
        <v>24</v>
      </c>
      <c r="Q12">
        <f>Louisville!Q12+SD!Q12+ND!Q12+Alabama!Q12+UNO!Q12+KSU!Q12+Indiana!Q12+Iowa!Q12+Washington!Q12+MSU!Q12+Michigan!Q12+Wisconsin!Q12+Maryland!Q12+Rutgers!Q12+Illinois!Q12+USC!Q12+UCLA!Q12+Purdue!Q12</f>
        <v>14</v>
      </c>
      <c r="R12">
        <f>Louisville!R12+SD!R12+ND!R12+Alabama!R12+UNO!R12+KSU!R12+Indiana!R12+Iowa!R12+Washington!R12+MSU!R12+Michigan!R12+Wisconsin!R12+Maryland!R12+Rutgers!R12+Illinois!R12+USC!R12+UCLA!R12+Purdue!R12</f>
        <v>11</v>
      </c>
      <c r="S12">
        <f>Louisville!S12+SD!S12+ND!S12+Alabama!S12+UNO!S12+KSU!S12+Indiana!S12+Iowa!S12+Washington!S12+MSU!S12+Michigan!S12+Wisconsin!S12+Maryland!S12+Rutgers!S12+Illinois!S12+USC!S12+UCLA!S12+Purdue!S12</f>
        <v>1</v>
      </c>
      <c r="T12">
        <f>Louisville!T12+SD!T12+ND!T12+Alabama!T12+UNO!T12+KSU!T12+Indiana!T12+Iowa!T12+Washington!T12+MSU!T12+Michigan!T12+Wisconsin!T12+Maryland!T12+Rutgers!T12+Illinois!T12+USC!T12+UCLA!T12+Purdue!T12</f>
        <v>0</v>
      </c>
      <c r="U12">
        <f>Louisville!U12+SD!U12+ND!U12+Alabama!U12+UNO!U12+KSU!U12+Indiana!U12+Iowa!U12+Washington!U12+MSU!U12+Michigan!U12+Wisconsin!U12+Maryland!U12+Rutgers!U12+Illinois!U12+USC!U12+UCLA!U12+Purdue!U12</f>
        <v>6</v>
      </c>
      <c r="V12">
        <f>Louisville!V12+SD!V12+ND!V12+Alabama!V12+UNO!V12+KSU!V12+Indiana!V12+Iowa!V12+Washington!V12+MSU!V12+Michigan!V12+Wisconsin!V12+Maryland!V12+Rutgers!V12+Illinois!V12+USC!V12+UCLA!V12+Purdue!V12</f>
        <v>4</v>
      </c>
      <c r="W12">
        <f>Louisville!W12+SD!W12+ND!W12+Alabama!W12+UNO!W12+KSU!W12+Indiana!W12+Iowa!W12+Washington!W12+MSU!W12+Michigan!W12+Wisconsin!W12+Maryland!W12+Rutgers!W12+Illinois!W12+USC!W12+UCLA!W12+Purdue!W12</f>
        <v>18</v>
      </c>
      <c r="X12">
        <f>Louisville!X12+SD!X12+ND!X12+Alabama!X12+UNO!X12+KSU!X12+Indiana!X12+Iowa!X12+Washington!X12+MSU!X12+Michigan!X12+Wisconsin!X12+Maryland!X12+Rutgers!X12+Illinois!X12+USC!X12+UCLA!X12+Purdue!X12</f>
        <v>78</v>
      </c>
      <c r="Y12" s="1">
        <f t="shared" si="1"/>
        <v>0.22807017543859648</v>
      </c>
      <c r="Z12">
        <f>Louisville!Z12+SD!Z12+ND!Z12+Alabama!Z12+UNO!Z12+KSU!Z12+Indiana!Z12+Iowa!Z12+Washington!Z12+MSU!Z12+Michigan!Z12+Wisconsin!Z12+Maryland!Z12+Rutgers!Z12+Illinois!Z12+USC!Z12+UCLA!Z12+Purdue!Z12</f>
        <v>116</v>
      </c>
      <c r="AA12" s="1">
        <f t="shared" si="2"/>
        <v>0.33918128654970758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342&lt;/td&gt;&lt;td&gt;0&lt;/td&gt;&lt;td&gt;0&lt;/td&gt;&lt;td&gt;0&lt;/td&gt;&lt;td&gt;22&lt;/td&gt;&lt;td&gt;1&lt;/td&gt;&lt;td&gt;1&lt;/td&gt;&lt;td&gt;10&lt;/td&gt;&lt;td&gt;1&lt;/td&gt;&lt;td&gt;3&lt;/td&gt;&lt;td&gt;1&lt;/td&gt;&lt;td&gt;0&lt;/td&gt;&lt;td&gt;38&lt;/td&gt;&lt;td&gt;0.11&lt;/td&gt;&lt;td&gt;116&lt;/td&gt;&lt;td&gt;0.34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342&lt;/td&gt;&lt;td&gt;24&lt;/td&gt;&lt;td&gt;14&lt;/td&gt;&lt;td&gt;11&lt;/td&gt;&lt;td&gt;1&lt;/td&gt;&lt;td&gt;0&lt;/td&gt;&lt;td&gt;6&lt;/td&gt;&lt;td&gt;4&lt;/td&gt;&lt;td&gt;18&lt;/td&gt;&lt;td&gt;78&lt;/td&gt;&lt;td&gt;0.23&lt;/td&gt;&lt;td&gt;116&lt;/td&gt;&lt;td&gt;0.34&lt;/td&gt;&lt;/tr&gt;</v>
      </c>
    </row>
    <row r="13" spans="1:46" x14ac:dyDescent="0.3">
      <c r="A13" t="s">
        <v>36</v>
      </c>
      <c r="B13">
        <f>Louisville!B13+SD!B13+ND!B13+Alabama!B13+UNO!B13+KSU!B13+Indiana!B13+Iowa!B13+Washington!B13+MSU!B13+Michigan!B13+Wisconsin!B13+Maryland!B13+Rutgers!B13+Illinois!B13+USC!B13+UCLA!B13+Purdue!B13</f>
        <v>13</v>
      </c>
      <c r="C13">
        <f>Louisville!C13+SD!C13+ND!C13+Alabama!C13+UNO!C13+KSU!C13+Indiana!C13+Iowa!C13+Washington!C13+MSU!C13+Michigan!C13+Wisconsin!C13+Maryland!C13+Rutgers!C13+Illinois!C13+USC!C13+UCLA!C13+Purdue!C13</f>
        <v>0</v>
      </c>
      <c r="D13">
        <f>Louisville!D13+SD!D13+ND!D13+Alabama!D13+UNO!D13+KSU!D13+Indiana!D13+Iowa!D13+Washington!D13+MSU!D13+Michigan!D13+Wisconsin!D13+Maryland!D13+Rutgers!D13+Illinois!D13+USC!D13+UCLA!D13+Purdue!D13</f>
        <v>0</v>
      </c>
      <c r="E13">
        <f>Louisville!E13+SD!E13+ND!E13+Alabama!E13+UNO!E13+KSU!E13+Indiana!E13+Iowa!E13+Washington!E13+MSU!E13+Michigan!E13+Wisconsin!E13+Maryland!E13+Rutgers!E13+Illinois!E13+USC!E13+UCLA!E13+Purdue!E13</f>
        <v>0</v>
      </c>
      <c r="F13">
        <f>Louisville!F13+SD!F13+ND!F13+Alabama!F13+UNO!F13+KSU!F13+Indiana!F13+Iowa!F13+Washington!F13+MSU!F13+Michigan!F13+Wisconsin!F13+Maryland!F13+Rutgers!F13+Illinois!F13+USC!F13+UCLA!F13+Purdue!F13</f>
        <v>0</v>
      </c>
      <c r="G13">
        <f>Louisville!G13+SD!G13+ND!G13+Alabama!G13+UNO!G13+KSU!G13+Indiana!G13+Iowa!G13+Washington!G13+MSU!G13+Michigan!G13+Wisconsin!G13+Maryland!G13+Rutgers!G13+Illinois!G13+USC!G13+UCLA!G13+Purdue!G13</f>
        <v>0</v>
      </c>
      <c r="H13">
        <f>Louisville!H13+SD!H13+ND!H13+Alabama!H13+UNO!H13+KSU!H13+Indiana!H13+Iowa!H13+Washington!H13+MSU!H13+Michigan!H13+Wisconsin!H13+Maryland!H13+Rutgers!H13+Illinois!H13+USC!H13+UCLA!H13+Purdue!H13</f>
        <v>0</v>
      </c>
      <c r="I13">
        <f>Louisville!I13+SD!I13+ND!I13+Alabama!I13+UNO!I13+KSU!I13+Indiana!I13+Iowa!I13+Washington!I13+MSU!I13+Michigan!I13+Wisconsin!I13+Maryland!I13+Rutgers!I13+Illinois!I13+USC!I13+UCLA!I13+Purdue!I13</f>
        <v>0</v>
      </c>
      <c r="J13">
        <f>Louisville!J13+SD!J13+ND!J13+Alabama!J13+UNO!J13+KSU!J13+Indiana!J13+Iowa!J13+Washington!J13+MSU!J13+Michigan!J13+Wisconsin!J13+Maryland!J13+Rutgers!J13+Illinois!J13+USC!J13+UCLA!J13+Purdue!J13</f>
        <v>0</v>
      </c>
      <c r="K13">
        <f>Louisville!K13+SD!K13+ND!K13+Alabama!K13+UNO!K13+KSU!K13+Indiana!K13+Iowa!K13+Washington!K13+MSU!K13+Michigan!K13+Wisconsin!K13+Maryland!K13+Rutgers!K13+Illinois!K13+USC!K13+UCLA!K13+Purdue!K13</f>
        <v>0</v>
      </c>
      <c r="L13">
        <f>Louisville!L13+SD!L13+ND!L13+Alabama!L13+UNO!L13+KSU!L13+Indiana!L13+Iowa!L13+Washington!L13+MSU!L13+Michigan!L13+Wisconsin!L13+Maryland!L13+Rutgers!L13+Illinois!L13+USC!L13+UCLA!L13+Purdue!L13</f>
        <v>0</v>
      </c>
      <c r="M13">
        <f>Louisville!M13+SD!M13+ND!M13+Alabama!M13+UNO!M13+KSU!M13+Indiana!M13+Iowa!M13+Washington!M13+MSU!M13+Michigan!M13+Wisconsin!M13+Maryland!M13+Rutgers!M13+Illinois!M13+USC!M13+UCLA!M13+Purdue!M13</f>
        <v>0</v>
      </c>
      <c r="N13">
        <f>Louisville!N13+SD!N13+ND!N13+Alabama!N13+UNO!N13+KSU!N13+Indiana!N13+Iowa!N13+Washington!N13+MSU!N13+Michigan!N13+Wisconsin!N13+Maryland!N13+Rutgers!N13+Illinois!N13+USC!N13+UCLA!N13+Purdue!N13</f>
        <v>0</v>
      </c>
      <c r="O13" s="1">
        <f t="shared" si="0"/>
        <v>0</v>
      </c>
      <c r="P13">
        <f>Louisville!P13+SD!P13+ND!P13+Alabama!P13+UNO!P13+KSU!P13+Indiana!P13+Iowa!P13+Washington!P13+MSU!P13+Michigan!P13+Wisconsin!P13+Maryland!P13+Rutgers!P13+Illinois!P13+USC!P13+UCLA!P13+Purdue!P13</f>
        <v>0</v>
      </c>
      <c r="Q13">
        <f>Louisville!Q13+SD!Q13+ND!Q13+Alabama!Q13+UNO!Q13+KSU!Q13+Indiana!Q13+Iowa!Q13+Washington!Q13+MSU!Q13+Michigan!Q13+Wisconsin!Q13+Maryland!Q13+Rutgers!Q13+Illinois!Q13+USC!Q13+UCLA!Q13+Purdue!Q13</f>
        <v>0</v>
      </c>
      <c r="R13">
        <f>Louisville!R13+SD!R13+ND!R13+Alabama!R13+UNO!R13+KSU!R13+Indiana!R13+Iowa!R13+Washington!R13+MSU!R13+Michigan!R13+Wisconsin!R13+Maryland!R13+Rutgers!R13+Illinois!R13+USC!R13+UCLA!R13+Purdue!R13</f>
        <v>0</v>
      </c>
      <c r="S13">
        <f>Louisville!S13+SD!S13+ND!S13+Alabama!S13+UNO!S13+KSU!S13+Indiana!S13+Iowa!S13+Washington!S13+MSU!S13+Michigan!S13+Wisconsin!S13+Maryland!S13+Rutgers!S13+Illinois!S13+USC!S13+UCLA!S13+Purdue!S13</f>
        <v>0</v>
      </c>
      <c r="T13">
        <f>Louisville!T13+SD!T13+ND!T13+Alabama!T13+UNO!T13+KSU!T13+Indiana!T13+Iowa!T13+Washington!T13+MSU!T13+Michigan!T13+Wisconsin!T13+Maryland!T13+Rutgers!T13+Illinois!T13+USC!T13+UCLA!T13+Purdue!T13</f>
        <v>0</v>
      </c>
      <c r="U13">
        <f>Louisville!U13+SD!U13+ND!U13+Alabama!U13+UNO!U13+KSU!U13+Indiana!U13+Iowa!U13+Washington!U13+MSU!U13+Michigan!U13+Wisconsin!U13+Maryland!U13+Rutgers!U13+Illinois!U13+USC!U13+UCLA!U13+Purdue!U13</f>
        <v>0</v>
      </c>
      <c r="V13">
        <f>Louisville!V13+SD!V13+ND!V13+Alabama!V13+UNO!V13+KSU!V13+Indiana!V13+Iowa!V13+Washington!V13+MSU!V13+Michigan!V13+Wisconsin!V13+Maryland!V13+Rutgers!V13+Illinois!V13+USC!V13+UCLA!V13+Purdue!V13</f>
        <v>0</v>
      </c>
      <c r="W13">
        <f>Louisville!W13+SD!W13+ND!W13+Alabama!W13+UNO!W13+KSU!W13+Indiana!W13+Iowa!W13+Washington!W13+MSU!W13+Michigan!W13+Wisconsin!W13+Maryland!W13+Rutgers!W13+Illinois!W13+USC!W13+UCLA!W13+Purdue!W13</f>
        <v>0</v>
      </c>
      <c r="X13">
        <f>Louisville!X13+SD!X13+ND!X13+Alabama!X13+UNO!X13+KSU!X13+Indiana!X13+Iowa!X13+Washington!X13+MSU!X13+Michigan!X13+Wisconsin!X13+Maryland!X13+Rutgers!X13+Illinois!X13+USC!X13+UCLA!X13+Purdue!X13</f>
        <v>0</v>
      </c>
      <c r="Y13" s="1">
        <f t="shared" si="1"/>
        <v>0</v>
      </c>
      <c r="Z13">
        <f>Louisville!Z13+SD!Z13+ND!Z13+Alabama!Z13+UNO!Z13+KSU!Z13+Indiana!Z13+Iowa!Z13+Washington!Z13+MSU!Z13+Michigan!Z13+Wisconsin!Z13+Maryland!Z13+Rutgers!Z13+Illinois!Z13+USC!Z13+UCLA!Z13+Purdue!Z13</f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13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13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f>Louisville!B14+SD!B14+ND!B14+Alabama!B14+UNO!B14+KSU!B14+Indiana!B14+Iowa!B14+Washington!B14+MSU!B14+Michigan!B14+Wisconsin!B14+Maryland!B14+Rutgers!B14+Illinois!B14+USC!B14+UCLA!B14+Purdue!B14</f>
        <v>559</v>
      </c>
      <c r="C14">
        <f>Louisville!C14+SD!C14+ND!C14+Alabama!C14+UNO!C14+KSU!C14+Indiana!C14+Iowa!C14+Washington!C14+MSU!C14+Michigan!C14+Wisconsin!C14+Maryland!C14+Rutgers!C14+Illinois!C14+USC!C14+UCLA!C14+Purdue!C14</f>
        <v>0</v>
      </c>
      <c r="D14">
        <f>Louisville!D14+SD!D14+ND!D14+Alabama!D14+UNO!D14+KSU!D14+Indiana!D14+Iowa!D14+Washington!D14+MSU!D14+Michigan!D14+Wisconsin!D14+Maryland!D14+Rutgers!D14+Illinois!D14+USC!D14+UCLA!D14+Purdue!D14</f>
        <v>1</v>
      </c>
      <c r="E14">
        <f>Louisville!E14+SD!E14+ND!E14+Alabama!E14+UNO!E14+KSU!E14+Indiana!E14+Iowa!E14+Washington!E14+MSU!E14+Michigan!E14+Wisconsin!E14+Maryland!E14+Rutgers!E14+Illinois!E14+USC!E14+UCLA!E14+Purdue!E14</f>
        <v>1</v>
      </c>
      <c r="F14">
        <f>Louisville!F14+SD!F14+ND!F14+Alabama!F14+UNO!F14+KSU!F14+Indiana!F14+Iowa!F14+Washington!F14+MSU!F14+Michigan!F14+Wisconsin!F14+Maryland!F14+Rutgers!F14+Illinois!F14+USC!F14+UCLA!F14+Purdue!F14</f>
        <v>15</v>
      </c>
      <c r="G14">
        <f>Louisville!G14+SD!G14+ND!G14+Alabama!G14+UNO!G14+KSU!G14+Indiana!G14+Iowa!G14+Washington!G14+MSU!G14+Michigan!G14+Wisconsin!G14+Maryland!G14+Rutgers!G14+Illinois!G14+USC!G14+UCLA!G14+Purdue!G14</f>
        <v>2</v>
      </c>
      <c r="H14">
        <f>Louisville!H14+SD!H14+ND!H14+Alabama!H14+UNO!H14+KSU!H14+Indiana!H14+Iowa!H14+Washington!H14+MSU!H14+Michigan!H14+Wisconsin!H14+Maryland!H14+Rutgers!H14+Illinois!H14+USC!H14+UCLA!H14+Purdue!H14</f>
        <v>8</v>
      </c>
      <c r="I14">
        <f>Louisville!I14+SD!I14+ND!I14+Alabama!I14+UNO!I14+KSU!I14+Indiana!I14+Iowa!I14+Washington!I14+MSU!I14+Michigan!I14+Wisconsin!I14+Maryland!I14+Rutgers!I14+Illinois!I14+USC!I14+UCLA!I14+Purdue!I14</f>
        <v>2</v>
      </c>
      <c r="J14">
        <f>Louisville!J14+SD!J14+ND!J14+Alabama!J14+UNO!J14+KSU!J14+Indiana!J14+Iowa!J14+Washington!J14+MSU!J14+Michigan!J14+Wisconsin!J14+Maryland!J14+Rutgers!J14+Illinois!J14+USC!J14+UCLA!J14+Purdue!J14</f>
        <v>1</v>
      </c>
      <c r="K14">
        <f>Louisville!K14+SD!K14+ND!K14+Alabama!K14+UNO!K14+KSU!K14+Indiana!K14+Iowa!K14+Washington!K14+MSU!K14+Michigan!K14+Wisconsin!K14+Maryland!K14+Rutgers!K14+Illinois!K14+USC!K14+UCLA!K14+Purdue!K14</f>
        <v>6</v>
      </c>
      <c r="L14">
        <f>Louisville!L14+SD!L14+ND!L14+Alabama!L14+UNO!L14+KSU!L14+Indiana!L14+Iowa!L14+Washington!L14+MSU!L14+Michigan!L14+Wisconsin!L14+Maryland!L14+Rutgers!L14+Illinois!L14+USC!L14+UCLA!L14+Purdue!L14</f>
        <v>1</v>
      </c>
      <c r="M14">
        <f>Louisville!M14+SD!M14+ND!M14+Alabama!M14+UNO!M14+KSU!M14+Indiana!M14+Iowa!M14+Washington!M14+MSU!M14+Michigan!M14+Wisconsin!M14+Maryland!M14+Rutgers!M14+Illinois!M14+USC!M14+UCLA!M14+Purdue!M14</f>
        <v>1</v>
      </c>
      <c r="N14">
        <f>Louisville!N14+SD!N14+ND!N14+Alabama!N14+UNO!N14+KSU!N14+Indiana!N14+Iowa!N14+Washington!N14+MSU!N14+Michigan!N14+Wisconsin!N14+Maryland!N14+Rutgers!N14+Illinois!N14+USC!N14+UCLA!N14+Purdue!N14</f>
        <v>36</v>
      </c>
      <c r="O14" s="1">
        <f t="shared" si="0"/>
        <v>6.4400715563506267E-2</v>
      </c>
      <c r="P14">
        <f>Louisville!P14+SD!P14+ND!P14+Alabama!P14+UNO!P14+KSU!P14+Indiana!P14+Iowa!P14+Washington!P14+MSU!P14+Michigan!P14+Wisconsin!P14+Maryland!P14+Rutgers!P14+Illinois!P14+USC!P14+UCLA!P14+Purdue!P14</f>
        <v>4</v>
      </c>
      <c r="Q14">
        <f>Louisville!Q14+SD!Q14+ND!Q14+Alabama!Q14+UNO!Q14+KSU!Q14+Indiana!Q14+Iowa!Q14+Washington!Q14+MSU!Q14+Michigan!Q14+Wisconsin!Q14+Maryland!Q14+Rutgers!Q14+Illinois!Q14+USC!Q14+UCLA!Q14+Purdue!Q14</f>
        <v>33</v>
      </c>
      <c r="R14">
        <f>Louisville!R14+SD!R14+ND!R14+Alabama!R14+UNO!R14+KSU!R14+Indiana!R14+Iowa!R14+Washington!R14+MSU!R14+Michigan!R14+Wisconsin!R14+Maryland!R14+Rutgers!R14+Illinois!R14+USC!R14+UCLA!R14+Purdue!R14</f>
        <v>16</v>
      </c>
      <c r="S14">
        <f>Louisville!S14+SD!S14+ND!S14+Alabama!S14+UNO!S14+KSU!S14+Indiana!S14+Iowa!S14+Washington!S14+MSU!S14+Michigan!S14+Wisconsin!S14+Maryland!S14+Rutgers!S14+Illinois!S14+USC!S14+UCLA!S14+Purdue!S14</f>
        <v>7</v>
      </c>
      <c r="T14">
        <f>Louisville!T14+SD!T14+ND!T14+Alabama!T14+UNO!T14+KSU!T14+Indiana!T14+Iowa!T14+Washington!T14+MSU!T14+Michigan!T14+Wisconsin!T14+Maryland!T14+Rutgers!T14+Illinois!T14+USC!T14+UCLA!T14+Purdue!T14</f>
        <v>19</v>
      </c>
      <c r="U14">
        <f>Louisville!U14+SD!U14+ND!U14+Alabama!U14+UNO!U14+KSU!U14+Indiana!U14+Iowa!U14+Washington!U14+MSU!U14+Michigan!U14+Wisconsin!U14+Maryland!U14+Rutgers!U14+Illinois!U14+USC!U14+UCLA!U14+Purdue!U14</f>
        <v>9</v>
      </c>
      <c r="V14">
        <f>Louisville!V14+SD!V14+ND!V14+Alabama!V14+UNO!V14+KSU!V14+Indiana!V14+Iowa!V14+Washington!V14+MSU!V14+Michigan!V14+Wisconsin!V14+Maryland!V14+Rutgers!V14+Illinois!V14+USC!V14+UCLA!V14+Purdue!V14</f>
        <v>23</v>
      </c>
      <c r="W14">
        <f>Louisville!W14+SD!W14+ND!W14+Alabama!W14+UNO!W14+KSU!W14+Indiana!W14+Iowa!W14+Washington!W14+MSU!W14+Michigan!W14+Wisconsin!W14+Maryland!W14+Rutgers!W14+Illinois!W14+USC!W14+UCLA!W14+Purdue!W14</f>
        <v>28</v>
      </c>
      <c r="X14">
        <f>Louisville!X14+SD!X14+ND!X14+Alabama!X14+UNO!X14+KSU!X14+Indiana!X14+Iowa!X14+Washington!X14+MSU!X14+Michigan!X14+Wisconsin!X14+Maryland!X14+Rutgers!X14+Illinois!X14+USC!X14+UCLA!X14+Purdue!X14</f>
        <v>132</v>
      </c>
      <c r="Y14" s="1">
        <f t="shared" si="1"/>
        <v>0.23613595706618962</v>
      </c>
      <c r="Z14">
        <f>Louisville!Z14+SD!Z14+ND!Z14+Alabama!Z14+UNO!Z14+KSU!Z14+Indiana!Z14+Iowa!Z14+Washington!Z14+MSU!Z14+Michigan!Z14+Wisconsin!Z14+Maryland!Z14+Rutgers!Z14+Illinois!Z14+USC!Z14+UCLA!Z14+Purdue!Z14</f>
        <v>168</v>
      </c>
      <c r="AA14" s="1">
        <f t="shared" si="2"/>
        <v>0.30053667262969591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559&lt;/td&gt;&lt;td&gt;0&lt;/td&gt;&lt;td&gt;1&lt;/td&gt;&lt;td&gt;1&lt;/td&gt;&lt;td&gt;15&lt;/td&gt;&lt;td&gt;2&lt;/td&gt;&lt;td&gt;8&lt;/td&gt;&lt;td&gt;2&lt;/td&gt;&lt;td&gt;1&lt;/td&gt;&lt;td&gt;6&lt;/td&gt;&lt;td&gt;1&lt;/td&gt;&lt;td&gt;1&lt;/td&gt;&lt;td&gt;36&lt;/td&gt;&lt;td&gt;0.06&lt;/td&gt;&lt;td&gt;168&lt;/td&gt;&lt;td&gt;0.30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559&lt;/td&gt;&lt;td&gt;4&lt;/td&gt;&lt;td&gt;33&lt;/td&gt;&lt;td&gt;16&lt;/td&gt;&lt;td&gt;7&lt;/td&gt;&lt;td&gt;19&lt;/td&gt;&lt;td&gt;9&lt;/td&gt;&lt;td&gt;23&lt;/td&gt;&lt;td&gt;28&lt;/td&gt;&lt;td&gt;132&lt;/td&gt;&lt;td&gt;0.24&lt;/td&gt;&lt;td&gt;168&lt;/td&gt;&lt;td&gt;0.30&lt;/td&gt;&lt;/tr&gt;</v>
      </c>
    </row>
    <row r="15" spans="1:46" x14ac:dyDescent="0.3">
      <c r="A15" t="s">
        <v>38</v>
      </c>
      <c r="B15">
        <f>Louisville!B15+SD!B15+ND!B15+Alabama!B15+UNO!B15+KSU!B15+Indiana!B15+Iowa!B15+Washington!B15+MSU!B15+Michigan!B15+Wisconsin!B15+Maryland!B15+Rutgers!B15+Illinois!B15+USC!B15+UCLA!B15+Purdue!B15</f>
        <v>976</v>
      </c>
      <c r="C15">
        <f>Louisville!C15+SD!C15+ND!C15+Alabama!C15+UNO!C15+KSU!C15+Indiana!C15+Iowa!C15+Washington!C15+MSU!C15+Michigan!C15+Wisconsin!C15+Maryland!C15+Rutgers!C15+Illinois!C15+USC!C15+UCLA!C15+Purdue!C15</f>
        <v>1</v>
      </c>
      <c r="D15">
        <f>Louisville!D15+SD!D15+ND!D15+Alabama!D15+UNO!D15+KSU!D15+Indiana!D15+Iowa!D15+Washington!D15+MSU!D15+Michigan!D15+Wisconsin!D15+Maryland!D15+Rutgers!D15+Illinois!D15+USC!D15+UCLA!D15+Purdue!D15</f>
        <v>1</v>
      </c>
      <c r="E15">
        <f>Louisville!E15+SD!E15+ND!E15+Alabama!E15+UNO!E15+KSU!E15+Indiana!E15+Iowa!E15+Washington!E15+MSU!E15+Michigan!E15+Wisconsin!E15+Maryland!E15+Rutgers!E15+Illinois!E15+USC!E15+UCLA!E15+Purdue!E15</f>
        <v>3</v>
      </c>
      <c r="F15">
        <f>Louisville!F15+SD!F15+ND!F15+Alabama!F15+UNO!F15+KSU!F15+Indiana!F15+Iowa!F15+Washington!F15+MSU!F15+Michigan!F15+Wisconsin!F15+Maryland!F15+Rutgers!F15+Illinois!F15+USC!F15+UCLA!F15+Purdue!F15</f>
        <v>24</v>
      </c>
      <c r="G15">
        <f>Louisville!G15+SD!G15+ND!G15+Alabama!G15+UNO!G15+KSU!G15+Indiana!G15+Iowa!G15+Washington!G15+MSU!G15+Michigan!G15+Wisconsin!G15+Maryland!G15+Rutgers!G15+Illinois!G15+USC!G15+UCLA!G15+Purdue!G15</f>
        <v>1</v>
      </c>
      <c r="H15">
        <f>Louisville!H15+SD!H15+ND!H15+Alabama!H15+UNO!H15+KSU!H15+Indiana!H15+Iowa!H15+Washington!H15+MSU!H15+Michigan!H15+Wisconsin!H15+Maryland!H15+Rutgers!H15+Illinois!H15+USC!H15+UCLA!H15+Purdue!H15</f>
        <v>5</v>
      </c>
      <c r="I15">
        <f>Louisville!I15+SD!I15+ND!I15+Alabama!I15+UNO!I15+KSU!I15+Indiana!I15+Iowa!I15+Washington!I15+MSU!I15+Michigan!I15+Wisconsin!I15+Maryland!I15+Rutgers!I15+Illinois!I15+USC!I15+UCLA!I15+Purdue!I15</f>
        <v>5</v>
      </c>
      <c r="J15">
        <f>Louisville!J15+SD!J15+ND!J15+Alabama!J15+UNO!J15+KSU!J15+Indiana!J15+Iowa!J15+Washington!J15+MSU!J15+Michigan!J15+Wisconsin!J15+Maryland!J15+Rutgers!J15+Illinois!J15+USC!J15+UCLA!J15+Purdue!J15</f>
        <v>3</v>
      </c>
      <c r="K15">
        <f>Louisville!K15+SD!K15+ND!K15+Alabama!K15+UNO!K15+KSU!K15+Indiana!K15+Iowa!K15+Washington!K15+MSU!K15+Michigan!K15+Wisconsin!K15+Maryland!K15+Rutgers!K15+Illinois!K15+USC!K15+UCLA!K15+Purdue!K15</f>
        <v>5</v>
      </c>
      <c r="L15">
        <f>Louisville!L15+SD!L15+ND!L15+Alabama!L15+UNO!L15+KSU!L15+Indiana!L15+Iowa!L15+Washington!L15+MSU!L15+Michigan!L15+Wisconsin!L15+Maryland!L15+Rutgers!L15+Illinois!L15+USC!L15+UCLA!L15+Purdue!L15</f>
        <v>3</v>
      </c>
      <c r="M15">
        <f>Louisville!M15+SD!M15+ND!M15+Alabama!M15+UNO!M15+KSU!M15+Indiana!M15+Iowa!M15+Washington!M15+MSU!M15+Michigan!M15+Wisconsin!M15+Maryland!M15+Rutgers!M15+Illinois!M15+USC!M15+UCLA!M15+Purdue!M15</f>
        <v>1</v>
      </c>
      <c r="N15">
        <f>Louisville!N15+SD!N15+ND!N15+Alabama!N15+UNO!N15+KSU!N15+Indiana!N15+Iowa!N15+Washington!N15+MSU!N15+Michigan!N15+Wisconsin!N15+Maryland!N15+Rutgers!N15+Illinois!N15+USC!N15+UCLA!N15+Purdue!N15</f>
        <v>52</v>
      </c>
      <c r="O15" s="1">
        <f t="shared" si="0"/>
        <v>5.3278688524590161E-2</v>
      </c>
      <c r="P15">
        <f>Louisville!P15+SD!P15+ND!P15+Alabama!P15+UNO!P15+KSU!P15+Indiana!P15+Iowa!P15+Washington!P15+MSU!P15+Michigan!P15+Wisconsin!P15+Maryland!P15+Rutgers!P15+Illinois!P15+USC!P15+UCLA!P15+Purdue!P15</f>
        <v>17</v>
      </c>
      <c r="Q15">
        <f>Louisville!Q15+SD!Q15+ND!Q15+Alabama!Q15+UNO!Q15+KSU!Q15+Indiana!Q15+Iowa!Q15+Washington!Q15+MSU!Q15+Michigan!Q15+Wisconsin!Q15+Maryland!Q15+Rutgers!Q15+Illinois!Q15+USC!Q15+UCLA!Q15+Purdue!Q15</f>
        <v>58</v>
      </c>
      <c r="R15">
        <f>Louisville!R15+SD!R15+ND!R15+Alabama!R15+UNO!R15+KSU!R15+Indiana!R15+Iowa!R15+Washington!R15+MSU!R15+Michigan!R15+Wisconsin!R15+Maryland!R15+Rutgers!R15+Illinois!R15+USC!R15+UCLA!R15+Purdue!R15</f>
        <v>16</v>
      </c>
      <c r="S15">
        <f>Louisville!S15+SD!S15+ND!S15+Alabama!S15+UNO!S15+KSU!S15+Indiana!S15+Iowa!S15+Washington!S15+MSU!S15+Michigan!S15+Wisconsin!S15+Maryland!S15+Rutgers!S15+Illinois!S15+USC!S15+UCLA!S15+Purdue!S15</f>
        <v>15</v>
      </c>
      <c r="T15">
        <f>Louisville!T15+SD!T15+ND!T15+Alabama!T15+UNO!T15+KSU!T15+Indiana!T15+Iowa!T15+Washington!T15+MSU!T15+Michigan!T15+Wisconsin!T15+Maryland!T15+Rutgers!T15+Illinois!T15+USC!T15+UCLA!T15+Purdue!T15</f>
        <v>22</v>
      </c>
      <c r="U15">
        <f>Louisville!U15+SD!U15+ND!U15+Alabama!U15+UNO!U15+KSU!U15+Indiana!U15+Iowa!U15+Washington!U15+MSU!U15+Michigan!U15+Wisconsin!U15+Maryland!U15+Rutgers!U15+Illinois!U15+USC!U15+UCLA!U15+Purdue!U15</f>
        <v>5</v>
      </c>
      <c r="V15">
        <f>Louisville!V15+SD!V15+ND!V15+Alabama!V15+UNO!V15+KSU!V15+Indiana!V15+Iowa!V15+Washington!V15+MSU!V15+Michigan!V15+Wisconsin!V15+Maryland!V15+Rutgers!V15+Illinois!V15+USC!V15+UCLA!V15+Purdue!V15</f>
        <v>56</v>
      </c>
      <c r="W15">
        <f>Louisville!W15+SD!W15+ND!W15+Alabama!W15+UNO!W15+KSU!W15+Indiana!W15+Iowa!W15+Washington!W15+MSU!W15+Michigan!W15+Wisconsin!W15+Maryland!W15+Rutgers!W15+Illinois!W15+USC!W15+UCLA!W15+Purdue!W15</f>
        <v>52</v>
      </c>
      <c r="X15">
        <f>Louisville!X15+SD!X15+ND!X15+Alabama!X15+UNO!X15+KSU!X15+Indiana!X15+Iowa!X15+Washington!X15+MSU!X15+Michigan!X15+Wisconsin!X15+Maryland!X15+Rutgers!X15+Illinois!X15+USC!X15+UCLA!X15+Purdue!X15</f>
        <v>247</v>
      </c>
      <c r="Y15" s="1">
        <f t="shared" si="1"/>
        <v>0.2530737704918033</v>
      </c>
      <c r="Z15">
        <f>Louisville!Z15+SD!Z15+ND!Z15+Alabama!Z15+UNO!Z15+KSU!Z15+Indiana!Z15+Iowa!Z15+Washington!Z15+MSU!Z15+Michigan!Z15+Wisconsin!Z15+Maryland!Z15+Rutgers!Z15+Illinois!Z15+USC!Z15+UCLA!Z15+Purdue!Z15</f>
        <v>299</v>
      </c>
      <c r="AA15" s="1">
        <f t="shared" si="2"/>
        <v>0.30635245901639346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976&lt;/td&gt;&lt;td&gt;1&lt;/td&gt;&lt;td&gt;1&lt;/td&gt;&lt;td&gt;3&lt;/td&gt;&lt;td&gt;24&lt;/td&gt;&lt;td&gt;1&lt;/td&gt;&lt;td&gt;5&lt;/td&gt;&lt;td&gt;5&lt;/td&gt;&lt;td&gt;3&lt;/td&gt;&lt;td&gt;5&lt;/td&gt;&lt;td&gt;3&lt;/td&gt;&lt;td&gt;1&lt;/td&gt;&lt;td&gt;52&lt;/td&gt;&lt;td&gt;0.05&lt;/td&gt;&lt;td&gt;299&lt;/td&gt;&lt;td&gt;0.31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976&lt;/td&gt;&lt;td&gt;17&lt;/td&gt;&lt;td&gt;58&lt;/td&gt;&lt;td&gt;16&lt;/td&gt;&lt;td&gt;15&lt;/td&gt;&lt;td&gt;22&lt;/td&gt;&lt;td&gt;5&lt;/td&gt;&lt;td&gt;56&lt;/td&gt;&lt;td&gt;52&lt;/td&gt;&lt;td&gt;247&lt;/td&gt;&lt;td&gt;0.25&lt;/td&gt;&lt;td&gt;299&lt;/td&gt;&lt;td&gt;0.31&lt;/td&gt;&lt;/tr&gt;</v>
      </c>
    </row>
    <row r="16" spans="1:46" x14ac:dyDescent="0.3">
      <c r="A16" t="s">
        <v>39</v>
      </c>
      <c r="B16">
        <f>Louisville!B16+SD!B16+ND!B16+Alabama!B16+UNO!B16+KSU!B16+Indiana!B16+Iowa!B16+Washington!B16+MSU!B16+Michigan!B16+Wisconsin!B16+Maryland!B16+Rutgers!B16+Illinois!B16+USC!B16+UCLA!B16+Purdue!B16</f>
        <v>442</v>
      </c>
      <c r="C16">
        <f>Louisville!C16+SD!C16+ND!C16+Alabama!C16+UNO!C16+KSU!C16+Indiana!C16+Iowa!C16+Washington!C16+MSU!C16+Michigan!C16+Wisconsin!C16+Maryland!C16+Rutgers!C16+Illinois!C16+USC!C16+UCLA!C16+Purdue!C16</f>
        <v>0</v>
      </c>
      <c r="D16">
        <f>Louisville!D16+SD!D16+ND!D16+Alabama!D16+UNO!D16+KSU!D16+Indiana!D16+Iowa!D16+Washington!D16+MSU!D16+Michigan!D16+Wisconsin!D16+Maryland!D16+Rutgers!D16+Illinois!D16+USC!D16+UCLA!D16+Purdue!D16</f>
        <v>0</v>
      </c>
      <c r="E16">
        <f>Louisville!E16+SD!E16+ND!E16+Alabama!E16+UNO!E16+KSU!E16+Indiana!E16+Iowa!E16+Washington!E16+MSU!E16+Michigan!E16+Wisconsin!E16+Maryland!E16+Rutgers!E16+Illinois!E16+USC!E16+UCLA!E16+Purdue!E16</f>
        <v>2</v>
      </c>
      <c r="F16">
        <f>Louisville!F16+SD!F16+ND!F16+Alabama!F16+UNO!F16+KSU!F16+Indiana!F16+Iowa!F16+Washington!F16+MSU!F16+Michigan!F16+Wisconsin!F16+Maryland!F16+Rutgers!F16+Illinois!F16+USC!F16+UCLA!F16+Purdue!F16</f>
        <v>15</v>
      </c>
      <c r="G16">
        <f>Louisville!G16+SD!G16+ND!G16+Alabama!G16+UNO!G16+KSU!G16+Indiana!G16+Iowa!G16+Washington!G16+MSU!G16+Michigan!G16+Wisconsin!G16+Maryland!G16+Rutgers!G16+Illinois!G16+USC!G16+UCLA!G16+Purdue!G16</f>
        <v>0</v>
      </c>
      <c r="H16">
        <f>Louisville!H16+SD!H16+ND!H16+Alabama!H16+UNO!H16+KSU!H16+Indiana!H16+Iowa!H16+Washington!H16+MSU!H16+Michigan!H16+Wisconsin!H16+Maryland!H16+Rutgers!H16+Illinois!H16+USC!H16+UCLA!H16+Purdue!H16</f>
        <v>1</v>
      </c>
      <c r="I16">
        <f>Louisville!I16+SD!I16+ND!I16+Alabama!I16+UNO!I16+KSU!I16+Indiana!I16+Iowa!I16+Washington!I16+MSU!I16+Michigan!I16+Wisconsin!I16+Maryland!I16+Rutgers!I16+Illinois!I16+USC!I16+UCLA!I16+Purdue!I16</f>
        <v>13</v>
      </c>
      <c r="J16">
        <f>Louisville!J16+SD!J16+ND!J16+Alabama!J16+UNO!J16+KSU!J16+Indiana!J16+Iowa!J16+Washington!J16+MSU!J16+Michigan!J16+Wisconsin!J16+Maryland!J16+Rutgers!J16+Illinois!J16+USC!J16+UCLA!J16+Purdue!J16</f>
        <v>19</v>
      </c>
      <c r="K16">
        <f>Louisville!K16+SD!K16+ND!K16+Alabama!K16+UNO!K16+KSU!K16+Indiana!K16+Iowa!K16+Washington!K16+MSU!K16+Michigan!K16+Wisconsin!K16+Maryland!K16+Rutgers!K16+Illinois!K16+USC!K16+UCLA!K16+Purdue!K16</f>
        <v>20</v>
      </c>
      <c r="L16">
        <f>Louisville!L16+SD!L16+ND!L16+Alabama!L16+UNO!L16+KSU!L16+Indiana!L16+Iowa!L16+Washington!L16+MSU!L16+Michigan!L16+Wisconsin!L16+Maryland!L16+Rutgers!L16+Illinois!L16+USC!L16+UCLA!L16+Purdue!L16</f>
        <v>4</v>
      </c>
      <c r="M16">
        <f>Louisville!M16+SD!M16+ND!M16+Alabama!M16+UNO!M16+KSU!M16+Indiana!M16+Iowa!M16+Washington!M16+MSU!M16+Michigan!M16+Wisconsin!M16+Maryland!M16+Rutgers!M16+Illinois!M16+USC!M16+UCLA!M16+Purdue!M16</f>
        <v>2</v>
      </c>
      <c r="N16">
        <f>Louisville!N16+SD!N16+ND!N16+Alabama!N16+UNO!N16+KSU!N16+Indiana!N16+Iowa!N16+Washington!N16+MSU!N16+Michigan!N16+Wisconsin!N16+Maryland!N16+Rutgers!N16+Illinois!N16+USC!N16+UCLA!N16+Purdue!N16</f>
        <v>76</v>
      </c>
      <c r="O16" s="1">
        <f t="shared" si="0"/>
        <v>0.17194570135746606</v>
      </c>
      <c r="P16">
        <f>Louisville!P16+SD!P16+ND!P16+Alabama!P16+UNO!P16+KSU!P16+Indiana!P16+Iowa!P16+Washington!P16+MSU!P16+Michigan!P16+Wisconsin!P16+Maryland!P16+Rutgers!P16+Illinois!P16+USC!P16+UCLA!P16+Purdue!P16</f>
        <v>14</v>
      </c>
      <c r="Q16">
        <f>Louisville!Q16+SD!Q16+ND!Q16+Alabama!Q16+UNO!Q16+KSU!Q16+Indiana!Q16+Iowa!Q16+Washington!Q16+MSU!Q16+Michigan!Q16+Wisconsin!Q16+Maryland!Q16+Rutgers!Q16+Illinois!Q16+USC!Q16+UCLA!Q16+Purdue!Q16</f>
        <v>12</v>
      </c>
      <c r="R16">
        <f>Louisville!R16+SD!R16+ND!R16+Alabama!R16+UNO!R16+KSU!R16+Indiana!R16+Iowa!R16+Washington!R16+MSU!R16+Michigan!R16+Wisconsin!R16+Maryland!R16+Rutgers!R16+Illinois!R16+USC!R16+UCLA!R16+Purdue!R16</f>
        <v>5</v>
      </c>
      <c r="S16">
        <f>Louisville!S16+SD!S16+ND!S16+Alabama!S16+UNO!S16+KSU!S16+Indiana!S16+Iowa!S16+Washington!S16+MSU!S16+Michigan!S16+Wisconsin!S16+Maryland!S16+Rutgers!S16+Illinois!S16+USC!S16+UCLA!S16+Purdue!S16</f>
        <v>0</v>
      </c>
      <c r="T16">
        <f>Louisville!T16+SD!T16+ND!T16+Alabama!T16+UNO!T16+KSU!T16+Indiana!T16+Iowa!T16+Washington!T16+MSU!T16+Michigan!T16+Wisconsin!T16+Maryland!T16+Rutgers!T16+Illinois!T16+USC!T16+UCLA!T16+Purdue!T16</f>
        <v>1</v>
      </c>
      <c r="U16">
        <f>Louisville!U16+SD!U16+ND!U16+Alabama!U16+UNO!U16+KSU!U16+Indiana!U16+Iowa!U16+Washington!U16+MSU!U16+Michigan!U16+Wisconsin!U16+Maryland!U16+Rutgers!U16+Illinois!U16+USC!U16+UCLA!U16+Purdue!U16</f>
        <v>3</v>
      </c>
      <c r="V16">
        <f>Louisville!V16+SD!V16+ND!V16+Alabama!V16+UNO!V16+KSU!V16+Indiana!V16+Iowa!V16+Washington!V16+MSU!V16+Michigan!V16+Wisconsin!V16+Maryland!V16+Rutgers!V16+Illinois!V16+USC!V16+UCLA!V16+Purdue!V16</f>
        <v>0</v>
      </c>
      <c r="W16">
        <f>Louisville!W16+SD!W16+ND!W16+Alabama!W16+UNO!W16+KSU!W16+Indiana!W16+Iowa!W16+Washington!W16+MSU!W16+Michigan!W16+Wisconsin!W16+Maryland!W16+Rutgers!W16+Illinois!W16+USC!W16+UCLA!W16+Purdue!W16</f>
        <v>13</v>
      </c>
      <c r="X16">
        <f>Louisville!X16+SD!X16+ND!X16+Alabama!X16+UNO!X16+KSU!X16+Indiana!X16+Iowa!X16+Washington!X16+MSU!X16+Michigan!X16+Wisconsin!X16+Maryland!X16+Rutgers!X16+Illinois!X16+USC!X16+UCLA!X16+Purdue!X16</f>
        <v>48</v>
      </c>
      <c r="Y16" s="1">
        <f t="shared" si="1"/>
        <v>0.10859728506787331</v>
      </c>
      <c r="Z16">
        <f>Louisville!Z16+SD!Z16+ND!Z16+Alabama!Z16+UNO!Z16+KSU!Z16+Indiana!Z16+Iowa!Z16+Washington!Z16+MSU!Z16+Michigan!Z16+Wisconsin!Z16+Maryland!Z16+Rutgers!Z16+Illinois!Z16+USC!Z16+UCLA!Z16+Purdue!Z16</f>
        <v>124</v>
      </c>
      <c r="AA16" s="1">
        <f t="shared" si="2"/>
        <v>0.28054298642533937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442&lt;/td&gt;&lt;td&gt;0&lt;/td&gt;&lt;td&gt;0&lt;/td&gt;&lt;td&gt;2&lt;/td&gt;&lt;td&gt;15&lt;/td&gt;&lt;td&gt;0&lt;/td&gt;&lt;td&gt;1&lt;/td&gt;&lt;td&gt;13&lt;/td&gt;&lt;td&gt;19&lt;/td&gt;&lt;td&gt;20&lt;/td&gt;&lt;td&gt;4&lt;/td&gt;&lt;td&gt;2&lt;/td&gt;&lt;td&gt;76&lt;/td&gt;&lt;td&gt;0.17&lt;/td&gt;&lt;td&gt;124&lt;/td&gt;&lt;td&gt;0.28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442&lt;/td&gt;&lt;td&gt;14&lt;/td&gt;&lt;td&gt;12&lt;/td&gt;&lt;td&gt;5&lt;/td&gt;&lt;td&gt;0&lt;/td&gt;&lt;td&gt;1&lt;/td&gt;&lt;td&gt;3&lt;/td&gt;&lt;td&gt;0&lt;/td&gt;&lt;td&gt;13&lt;/td&gt;&lt;td&gt;48&lt;/td&gt;&lt;td&gt;0.11&lt;/td&gt;&lt;td&gt;124&lt;/td&gt;&lt;td&gt;0.28&lt;/td&gt;&lt;/tr&gt;</v>
      </c>
    </row>
    <row r="17" spans="1:46" x14ac:dyDescent="0.3">
      <c r="A17" t="s">
        <v>40</v>
      </c>
      <c r="B17">
        <f>Louisville!B17+SD!B17+ND!B17+Alabama!B17+UNO!B17+KSU!B17+Indiana!B17+Iowa!B17+Washington!B17+MSU!B17+Michigan!B17+Wisconsin!B17+Maryland!B17+Rutgers!B17+Illinois!B17+USC!B17+UCLA!B17+Purdue!B17</f>
        <v>731</v>
      </c>
      <c r="C17">
        <f>Louisville!C17+SD!C17+ND!C17+Alabama!C17+UNO!C17+KSU!C17+Indiana!C17+Iowa!C17+Washington!C17+MSU!C17+Michigan!C17+Wisconsin!C17+Maryland!C17+Rutgers!C17+Illinois!C17+USC!C17+UCLA!C17+Purdue!C17</f>
        <v>0</v>
      </c>
      <c r="D17">
        <f>Louisville!D17+SD!D17+ND!D17+Alabama!D17+UNO!D17+KSU!D17+Indiana!D17+Iowa!D17+Washington!D17+MSU!D17+Michigan!D17+Wisconsin!D17+Maryland!D17+Rutgers!D17+Illinois!D17+USC!D17+UCLA!D17+Purdue!D17</f>
        <v>0</v>
      </c>
      <c r="E17">
        <f>Louisville!E17+SD!E17+ND!E17+Alabama!E17+UNO!E17+KSU!E17+Indiana!E17+Iowa!E17+Washington!E17+MSU!E17+Michigan!E17+Wisconsin!E17+Maryland!E17+Rutgers!E17+Illinois!E17+USC!E17+UCLA!E17+Purdue!E17</f>
        <v>2</v>
      </c>
      <c r="F17">
        <f>Louisville!F17+SD!F17+ND!F17+Alabama!F17+UNO!F17+KSU!F17+Indiana!F17+Iowa!F17+Washington!F17+MSU!F17+Michigan!F17+Wisconsin!F17+Maryland!F17+Rutgers!F17+Illinois!F17+USC!F17+UCLA!F17+Purdue!F17</f>
        <v>30</v>
      </c>
      <c r="G17">
        <f>Louisville!G17+SD!G17+ND!G17+Alabama!G17+UNO!G17+KSU!G17+Indiana!G17+Iowa!G17+Washington!G17+MSU!G17+Michigan!G17+Wisconsin!G17+Maryland!G17+Rutgers!G17+Illinois!G17+USC!G17+UCLA!G17+Purdue!G17</f>
        <v>2</v>
      </c>
      <c r="H17">
        <f>Louisville!H17+SD!H17+ND!H17+Alabama!H17+UNO!H17+KSU!H17+Indiana!H17+Iowa!H17+Washington!H17+MSU!H17+Michigan!H17+Wisconsin!H17+Maryland!H17+Rutgers!H17+Illinois!H17+USC!H17+UCLA!H17+Purdue!H17</f>
        <v>9</v>
      </c>
      <c r="I17">
        <f>Louisville!I17+SD!I17+ND!I17+Alabama!I17+UNO!I17+KSU!I17+Indiana!I17+Iowa!I17+Washington!I17+MSU!I17+Michigan!I17+Wisconsin!I17+Maryland!I17+Rutgers!I17+Illinois!I17+USC!I17+UCLA!I17+Purdue!I17</f>
        <v>8</v>
      </c>
      <c r="J17">
        <f>Louisville!J17+SD!J17+ND!J17+Alabama!J17+UNO!J17+KSU!J17+Indiana!J17+Iowa!J17+Washington!J17+MSU!J17+Michigan!J17+Wisconsin!J17+Maryland!J17+Rutgers!J17+Illinois!J17+USC!J17+UCLA!J17+Purdue!J17</f>
        <v>15</v>
      </c>
      <c r="K17">
        <f>Louisville!K17+SD!K17+ND!K17+Alabama!K17+UNO!K17+KSU!K17+Indiana!K17+Iowa!K17+Washington!K17+MSU!K17+Michigan!K17+Wisconsin!K17+Maryland!K17+Rutgers!K17+Illinois!K17+USC!K17+UCLA!K17+Purdue!K17</f>
        <v>11</v>
      </c>
      <c r="L17">
        <f>Louisville!L17+SD!L17+ND!L17+Alabama!L17+UNO!L17+KSU!L17+Indiana!L17+Iowa!L17+Washington!L17+MSU!L17+Michigan!L17+Wisconsin!L17+Maryland!L17+Rutgers!L17+Illinois!L17+USC!L17+UCLA!L17+Purdue!L17</f>
        <v>9</v>
      </c>
      <c r="M17">
        <f>Louisville!M17+SD!M17+ND!M17+Alabama!M17+UNO!M17+KSU!M17+Indiana!M17+Iowa!M17+Washington!M17+MSU!M17+Michigan!M17+Wisconsin!M17+Maryland!M17+Rutgers!M17+Illinois!M17+USC!M17+UCLA!M17+Purdue!M17</f>
        <v>4</v>
      </c>
      <c r="N17">
        <f>Louisville!N17+SD!N17+ND!N17+Alabama!N17+UNO!N17+KSU!N17+Indiana!N17+Iowa!N17+Washington!N17+MSU!N17+Michigan!N17+Wisconsin!N17+Maryland!N17+Rutgers!N17+Illinois!N17+USC!N17+UCLA!N17+Purdue!N17</f>
        <v>88</v>
      </c>
      <c r="O17" s="1">
        <f t="shared" si="0"/>
        <v>0.12038303693570451</v>
      </c>
      <c r="P17">
        <f>Louisville!P17+SD!P17+ND!P17+Alabama!P17+UNO!P17+KSU!P17+Indiana!P17+Iowa!P17+Washington!P17+MSU!P17+Michigan!P17+Wisconsin!P17+Maryland!P17+Rutgers!P17+Illinois!P17+USC!P17+UCLA!P17+Purdue!P17</f>
        <v>17</v>
      </c>
      <c r="Q17">
        <f>Louisville!Q17+SD!Q17+ND!Q17+Alabama!Q17+UNO!Q17+KSU!Q17+Indiana!Q17+Iowa!Q17+Washington!Q17+MSU!Q17+Michigan!Q17+Wisconsin!Q17+Maryland!Q17+Rutgers!Q17+Illinois!Q17+USC!Q17+UCLA!Q17+Purdue!Q17</f>
        <v>21</v>
      </c>
      <c r="R17">
        <f>Louisville!R17+SD!R17+ND!R17+Alabama!R17+UNO!R17+KSU!R17+Indiana!R17+Iowa!R17+Washington!R17+MSU!R17+Michigan!R17+Wisconsin!R17+Maryland!R17+Rutgers!R17+Illinois!R17+USC!R17+UCLA!R17+Purdue!R17</f>
        <v>15</v>
      </c>
      <c r="S17">
        <f>Louisville!S17+SD!S17+ND!S17+Alabama!S17+UNO!S17+KSU!S17+Indiana!S17+Iowa!S17+Washington!S17+MSU!S17+Michigan!S17+Wisconsin!S17+Maryland!S17+Rutgers!S17+Illinois!S17+USC!S17+UCLA!S17+Purdue!S17</f>
        <v>7</v>
      </c>
      <c r="T17">
        <f>Louisville!T17+SD!T17+ND!T17+Alabama!T17+UNO!T17+KSU!T17+Indiana!T17+Iowa!T17+Washington!T17+MSU!T17+Michigan!T17+Wisconsin!T17+Maryland!T17+Rutgers!T17+Illinois!T17+USC!T17+UCLA!T17+Purdue!T17</f>
        <v>9</v>
      </c>
      <c r="U17">
        <f>Louisville!U17+SD!U17+ND!U17+Alabama!U17+UNO!U17+KSU!U17+Indiana!U17+Iowa!U17+Washington!U17+MSU!U17+Michigan!U17+Wisconsin!U17+Maryland!U17+Rutgers!U17+Illinois!U17+USC!U17+UCLA!U17+Purdue!U17</f>
        <v>5</v>
      </c>
      <c r="V17">
        <f>Louisville!V17+SD!V17+ND!V17+Alabama!V17+UNO!V17+KSU!V17+Indiana!V17+Iowa!V17+Washington!V17+MSU!V17+Michigan!V17+Wisconsin!V17+Maryland!V17+Rutgers!V17+Illinois!V17+USC!V17+UCLA!V17+Purdue!V17</f>
        <v>16</v>
      </c>
      <c r="W17">
        <f>Louisville!W17+SD!W17+ND!W17+Alabama!W17+UNO!W17+KSU!W17+Indiana!W17+Iowa!W17+Washington!W17+MSU!W17+Michigan!W17+Wisconsin!W17+Maryland!W17+Rutgers!W17+Illinois!W17+USC!W17+UCLA!W17+Purdue!W17</f>
        <v>32</v>
      </c>
      <c r="X17">
        <f>Louisville!X17+SD!X17+ND!X17+Alabama!X17+UNO!X17+KSU!X17+Indiana!X17+Iowa!X17+Washington!X17+MSU!X17+Michigan!X17+Wisconsin!X17+Maryland!X17+Rutgers!X17+Illinois!X17+USC!X17+UCLA!X17+Purdue!X17</f>
        <v>121</v>
      </c>
      <c r="Y17" s="1">
        <f t="shared" si="1"/>
        <v>0.16552667578659372</v>
      </c>
      <c r="Z17">
        <f>Louisville!Z17+SD!Z17+ND!Z17+Alabama!Z17+UNO!Z17+KSU!Z17+Indiana!Z17+Iowa!Z17+Washington!Z17+MSU!Z17+Michigan!Z17+Wisconsin!Z17+Maryland!Z17+Rutgers!Z17+Illinois!Z17+USC!Z17+UCLA!Z17+Purdue!Z17</f>
        <v>209</v>
      </c>
      <c r="AA17" s="1">
        <f t="shared" si="2"/>
        <v>0.2859097127222982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731&lt;/td&gt;&lt;td&gt;0&lt;/td&gt;&lt;td&gt;0&lt;/td&gt;&lt;td&gt;2&lt;/td&gt;&lt;td&gt;30&lt;/td&gt;&lt;td&gt;2&lt;/td&gt;&lt;td&gt;9&lt;/td&gt;&lt;td&gt;8&lt;/td&gt;&lt;td&gt;15&lt;/td&gt;&lt;td&gt;11&lt;/td&gt;&lt;td&gt;9&lt;/td&gt;&lt;td&gt;4&lt;/td&gt;&lt;td&gt;88&lt;/td&gt;&lt;td&gt;0.12&lt;/td&gt;&lt;td&gt;209&lt;/td&gt;&lt;td&gt;0.29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731&lt;/td&gt;&lt;td&gt;17&lt;/td&gt;&lt;td&gt;21&lt;/td&gt;&lt;td&gt;15&lt;/td&gt;&lt;td&gt;7&lt;/td&gt;&lt;td&gt;9&lt;/td&gt;&lt;td&gt;5&lt;/td&gt;&lt;td&gt;16&lt;/td&gt;&lt;td&gt;32&lt;/td&gt;&lt;td&gt;121&lt;/td&gt;&lt;td&gt;0.17&lt;/td&gt;&lt;td&gt;209&lt;/td&gt;&lt;td&gt;0.29&lt;/td&gt;&lt;/tr&gt;</v>
      </c>
    </row>
    <row r="18" spans="1:46" x14ac:dyDescent="0.3">
      <c r="A18" t="s">
        <v>41</v>
      </c>
      <c r="B18">
        <f>Louisville!B18+SD!B18+ND!B18+Alabama!B18+UNO!B18+KSU!B18+Indiana!B18+Iowa!B18+Washington!B18+MSU!B18+Michigan!B18+Wisconsin!B18+Maryland!B18+Rutgers!B18+Illinois!B18+USC!B18+UCLA!B18+Purdue!B18</f>
        <v>0</v>
      </c>
      <c r="C18">
        <f>Louisville!C18+SD!C18+ND!C18+Alabama!C18+UNO!C18+KSU!C18+Indiana!C18+Iowa!C18+Washington!C18+MSU!C18+Michigan!C18+Wisconsin!C18+Maryland!C18+Rutgers!C18+Illinois!C18+USC!C18+UCLA!C18+Purdue!C18</f>
        <v>0</v>
      </c>
      <c r="D18">
        <f>Louisville!D18+SD!D18+ND!D18+Alabama!D18+UNO!D18+KSU!D18+Indiana!D18+Iowa!D18+Washington!D18+MSU!D18+Michigan!D18+Wisconsin!D18+Maryland!D18+Rutgers!D18+Illinois!D18+USC!D18+UCLA!D18+Purdue!D18</f>
        <v>0</v>
      </c>
      <c r="E18">
        <f>Louisville!E18+SD!E18+ND!E18+Alabama!E18+UNO!E18+KSU!E18+Indiana!E18+Iowa!E18+Washington!E18+MSU!E18+Michigan!E18+Wisconsin!E18+Maryland!E18+Rutgers!E18+Illinois!E18+USC!E18+UCLA!E18+Purdue!E18</f>
        <v>0</v>
      </c>
      <c r="F18">
        <f>Louisville!F18+SD!F18+ND!F18+Alabama!F18+UNO!F18+KSU!F18+Indiana!F18+Iowa!F18+Washington!F18+MSU!F18+Michigan!F18+Wisconsin!F18+Maryland!F18+Rutgers!F18+Illinois!F18+USC!F18+UCLA!F18+Purdue!F18</f>
        <v>0</v>
      </c>
      <c r="G18">
        <f>Louisville!G18+SD!G18+ND!G18+Alabama!G18+UNO!G18+KSU!G18+Indiana!G18+Iowa!G18+Washington!G18+MSU!G18+Michigan!G18+Wisconsin!G18+Maryland!G18+Rutgers!G18+Illinois!G18+USC!G18+UCLA!G18+Purdue!G18</f>
        <v>0</v>
      </c>
      <c r="H18">
        <f>Louisville!H18+SD!H18+ND!H18+Alabama!H18+UNO!H18+KSU!H18+Indiana!H18+Iowa!H18+Washington!H18+MSU!H18+Michigan!H18+Wisconsin!H18+Maryland!H18+Rutgers!H18+Illinois!H18+USC!H18+UCLA!H18+Purdue!H18</f>
        <v>0</v>
      </c>
      <c r="I18">
        <f>Louisville!I18+SD!I18+ND!I18+Alabama!I18+UNO!I18+KSU!I18+Indiana!I18+Iowa!I18+Washington!I18+MSU!I18+Michigan!I18+Wisconsin!I18+Maryland!I18+Rutgers!I18+Illinois!I18+USC!I18+UCLA!I18+Purdue!I18</f>
        <v>0</v>
      </c>
      <c r="J18">
        <f>Louisville!J18+SD!J18+ND!J18+Alabama!J18+UNO!J18+KSU!J18+Indiana!J18+Iowa!J18+Washington!J18+MSU!J18+Michigan!J18+Wisconsin!J18+Maryland!J18+Rutgers!J18+Illinois!J18+USC!J18+UCLA!J18+Purdue!J18</f>
        <v>0</v>
      </c>
      <c r="K18">
        <f>Louisville!K18+SD!K18+ND!K18+Alabama!K18+UNO!K18+KSU!K18+Indiana!K18+Iowa!K18+Washington!K18+MSU!K18+Michigan!K18+Wisconsin!K18+Maryland!K18+Rutgers!K18+Illinois!K18+USC!K18+UCLA!K18+Purdue!K18</f>
        <v>0</v>
      </c>
      <c r="L18">
        <f>Louisville!L18+SD!L18+ND!L18+Alabama!L18+UNO!L18+KSU!L18+Indiana!L18+Iowa!L18+Washington!L18+MSU!L18+Michigan!L18+Wisconsin!L18+Maryland!L18+Rutgers!L18+Illinois!L18+USC!L18+UCLA!L18+Purdue!L18</f>
        <v>0</v>
      </c>
      <c r="M18">
        <f>Louisville!M18+SD!M18+ND!M18+Alabama!M18+UNO!M18+KSU!M18+Indiana!M18+Iowa!M18+Washington!M18+MSU!M18+Michigan!M18+Wisconsin!M18+Maryland!M18+Rutgers!M18+Illinois!M18+USC!M18+UCLA!M18+Purdue!M18</f>
        <v>0</v>
      </c>
      <c r="N18">
        <f>Louisville!N18+SD!N18+ND!N18+Alabama!N18+UNO!N18+KSU!N18+Indiana!N18+Iowa!N18+Washington!N18+MSU!N18+Michigan!N18+Wisconsin!N18+Maryland!N18+Rutgers!N18+Illinois!N18+USC!N18+UCLA!N18+Purdue!N18</f>
        <v>0</v>
      </c>
      <c r="O18" s="1">
        <f t="shared" si="0"/>
        <v>0</v>
      </c>
      <c r="P18">
        <f>Louisville!P18+SD!P18+ND!P18+Alabama!P18+UNO!P18+KSU!P18+Indiana!P18+Iowa!P18+Washington!P18+MSU!P18+Michigan!P18+Wisconsin!P18+Maryland!P18+Rutgers!P18+Illinois!P18+USC!P18+UCLA!P18+Purdue!P18</f>
        <v>0</v>
      </c>
      <c r="Q18">
        <f>Louisville!Q18+SD!Q18+ND!Q18+Alabama!Q18+UNO!Q18+KSU!Q18+Indiana!Q18+Iowa!Q18+Washington!Q18+MSU!Q18+Michigan!Q18+Wisconsin!Q18+Maryland!Q18+Rutgers!Q18+Illinois!Q18+USC!Q18+UCLA!Q18+Purdue!Q18</f>
        <v>0</v>
      </c>
      <c r="R18">
        <f>Louisville!R18+SD!R18+ND!R18+Alabama!R18+UNO!R18+KSU!R18+Indiana!R18+Iowa!R18+Washington!R18+MSU!R18+Michigan!R18+Wisconsin!R18+Maryland!R18+Rutgers!R18+Illinois!R18+USC!R18+UCLA!R18+Purdue!R18</f>
        <v>0</v>
      </c>
      <c r="S18">
        <f>Louisville!S18+SD!S18+ND!S18+Alabama!S18+UNO!S18+KSU!S18+Indiana!S18+Iowa!S18+Washington!S18+MSU!S18+Michigan!S18+Wisconsin!S18+Maryland!S18+Rutgers!S18+Illinois!S18+USC!S18+UCLA!S18+Purdue!S18</f>
        <v>0</v>
      </c>
      <c r="T18">
        <f>Louisville!T18+SD!T18+ND!T18+Alabama!T18+UNO!T18+KSU!T18+Indiana!T18+Iowa!T18+Washington!T18+MSU!T18+Michigan!T18+Wisconsin!T18+Maryland!T18+Rutgers!T18+Illinois!T18+USC!T18+UCLA!T18+Purdue!T18</f>
        <v>0</v>
      </c>
      <c r="U18">
        <f>Louisville!U18+SD!U18+ND!U18+Alabama!U18+UNO!U18+KSU!U18+Indiana!U18+Iowa!U18+Washington!U18+MSU!U18+Michigan!U18+Wisconsin!U18+Maryland!U18+Rutgers!U18+Illinois!U18+USC!U18+UCLA!U18+Purdue!U18</f>
        <v>0</v>
      </c>
      <c r="V18">
        <f>Louisville!V18+SD!V18+ND!V18+Alabama!V18+UNO!V18+KSU!V18+Indiana!V18+Iowa!V18+Washington!V18+MSU!V18+Michigan!V18+Wisconsin!V18+Maryland!V18+Rutgers!V18+Illinois!V18+USC!V18+UCLA!V18+Purdue!V18</f>
        <v>0</v>
      </c>
      <c r="W18">
        <f>Louisville!W18+SD!W18+ND!W18+Alabama!W18+UNO!W18+KSU!W18+Indiana!W18+Iowa!W18+Washington!W18+MSU!W18+Michigan!W18+Wisconsin!W18+Maryland!W18+Rutgers!W18+Illinois!W18+USC!W18+UCLA!W18+Purdue!W18</f>
        <v>0</v>
      </c>
      <c r="X18">
        <f>Louisville!X18+SD!X18+ND!X18+Alabama!X18+UNO!X18+KSU!X18+Indiana!X18+Iowa!X18+Washington!X18+MSU!X18+Michigan!X18+Wisconsin!X18+Maryland!X18+Rutgers!X18+Illinois!X18+USC!X18+UCLA!X18+Purdue!X18</f>
        <v>0</v>
      </c>
      <c r="Y18" s="1">
        <f t="shared" si="1"/>
        <v>0</v>
      </c>
      <c r="Z18">
        <f>Louisville!Z18+SD!Z18+ND!Z18+Alabama!Z18+UNO!Z18+KSU!Z18+Indiana!Z18+Iowa!Z18+Washington!Z18+MSU!Z18+Michigan!Z18+Wisconsin!Z18+Maryland!Z18+Rutgers!Z18+Illinois!Z18+USC!Z18+UCLA!Z18+Purdue!Z18</f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f>Louisville!B19+SD!B19+ND!B19+Alabama!B19+UNO!B19+KSU!B19+Indiana!B19+Iowa!B19+Washington!B19+MSU!B19+Michigan!B19+Wisconsin!B19+Maryland!B19+Rutgers!B19+Illinois!B19+USC!B19+UCLA!B19+Purdue!B19</f>
        <v>698</v>
      </c>
      <c r="C19">
        <f>Louisville!C19+SD!C19+ND!C19+Alabama!C19+UNO!C19+KSU!C19+Indiana!C19+Iowa!C19+Washington!C19+MSU!C19+Michigan!C19+Wisconsin!C19+Maryland!C19+Rutgers!C19+Illinois!C19+USC!C19+UCLA!C19+Purdue!C19</f>
        <v>2</v>
      </c>
      <c r="D19">
        <f>Louisville!D19+SD!D19+ND!D19+Alabama!D19+UNO!D19+KSU!D19+Indiana!D19+Iowa!D19+Washington!D19+MSU!D19+Michigan!D19+Wisconsin!D19+Maryland!D19+Rutgers!D19+Illinois!D19+USC!D19+UCLA!D19+Purdue!D19</f>
        <v>0</v>
      </c>
      <c r="E19">
        <f>Louisville!E19+SD!E19+ND!E19+Alabama!E19+UNO!E19+KSU!E19+Indiana!E19+Iowa!E19+Washington!E19+MSU!E19+Michigan!E19+Wisconsin!E19+Maryland!E19+Rutgers!E19+Illinois!E19+USC!E19+UCLA!E19+Purdue!E19</f>
        <v>4</v>
      </c>
      <c r="F19">
        <f>Louisville!F19+SD!F19+ND!F19+Alabama!F19+UNO!F19+KSU!F19+Indiana!F19+Iowa!F19+Washington!F19+MSU!F19+Michigan!F19+Wisconsin!F19+Maryland!F19+Rutgers!F19+Illinois!F19+USC!F19+UCLA!F19+Purdue!F19</f>
        <v>11</v>
      </c>
      <c r="G19">
        <f>Louisville!G19+SD!G19+ND!G19+Alabama!G19+UNO!G19+KSU!G19+Indiana!G19+Iowa!G19+Washington!G19+MSU!G19+Michigan!G19+Wisconsin!G19+Maryland!G19+Rutgers!G19+Illinois!G19+USC!G19+UCLA!G19+Purdue!G19</f>
        <v>0</v>
      </c>
      <c r="H19">
        <f>Louisville!H19+SD!H19+ND!H19+Alabama!H19+UNO!H19+KSU!H19+Indiana!H19+Iowa!H19+Washington!H19+MSU!H19+Michigan!H19+Wisconsin!H19+Maryland!H19+Rutgers!H19+Illinois!H19+USC!H19+UCLA!H19+Purdue!H19</f>
        <v>6</v>
      </c>
      <c r="I19">
        <f>Louisville!I19+SD!I19+ND!I19+Alabama!I19+UNO!I19+KSU!I19+Indiana!I19+Iowa!I19+Washington!I19+MSU!I19+Michigan!I19+Wisconsin!I19+Maryland!I19+Rutgers!I19+Illinois!I19+USC!I19+UCLA!I19+Purdue!I19</f>
        <v>17</v>
      </c>
      <c r="J19">
        <f>Louisville!J19+SD!J19+ND!J19+Alabama!J19+UNO!J19+KSU!J19+Indiana!J19+Iowa!J19+Washington!J19+MSU!J19+Michigan!J19+Wisconsin!J19+Maryland!J19+Rutgers!J19+Illinois!J19+USC!J19+UCLA!J19+Purdue!J19</f>
        <v>10</v>
      </c>
      <c r="K19">
        <f>Louisville!K19+SD!K19+ND!K19+Alabama!K19+UNO!K19+KSU!K19+Indiana!K19+Iowa!K19+Washington!K19+MSU!K19+Michigan!K19+Wisconsin!K19+Maryland!K19+Rutgers!K19+Illinois!K19+USC!K19+UCLA!K19+Purdue!K19</f>
        <v>9</v>
      </c>
      <c r="L19">
        <f>Louisville!L19+SD!L19+ND!L19+Alabama!L19+UNO!L19+KSU!L19+Indiana!L19+Iowa!L19+Washington!L19+MSU!L19+Michigan!L19+Wisconsin!L19+Maryland!L19+Rutgers!L19+Illinois!L19+USC!L19+UCLA!L19+Purdue!L19</f>
        <v>8</v>
      </c>
      <c r="M19">
        <f>Louisville!M19+SD!M19+ND!M19+Alabama!M19+UNO!M19+KSU!M19+Indiana!M19+Iowa!M19+Washington!M19+MSU!M19+Michigan!M19+Wisconsin!M19+Maryland!M19+Rutgers!M19+Illinois!M19+USC!M19+UCLA!M19+Purdue!M19</f>
        <v>12</v>
      </c>
      <c r="N19">
        <f>Louisville!N19+SD!N19+ND!N19+Alabama!N19+UNO!N19+KSU!N19+Indiana!N19+Iowa!N19+Washington!N19+MSU!N19+Michigan!N19+Wisconsin!N19+Maryland!N19+Rutgers!N19+Illinois!N19+USC!N19+UCLA!N19+Purdue!N19</f>
        <v>81</v>
      </c>
      <c r="O19" s="1">
        <f t="shared" si="0"/>
        <v>0.11604584527220631</v>
      </c>
      <c r="P19">
        <f>Louisville!P19+SD!P19+ND!P19+Alabama!P19+UNO!P19+KSU!P19+Indiana!P19+Iowa!P19+Washington!P19+MSU!P19+Michigan!P19+Wisconsin!P19+Maryland!P19+Rutgers!P19+Illinois!P19+USC!P19+UCLA!P19+Purdue!P19</f>
        <v>14</v>
      </c>
      <c r="Q19">
        <f>Louisville!Q19+SD!Q19+ND!Q19+Alabama!Q19+UNO!Q19+KSU!Q19+Indiana!Q19+Iowa!Q19+Washington!Q19+MSU!Q19+Michigan!Q19+Wisconsin!Q19+Maryland!Q19+Rutgers!Q19+Illinois!Q19+USC!Q19+UCLA!Q19+Purdue!Q19</f>
        <v>9</v>
      </c>
      <c r="R19">
        <f>Louisville!R19+SD!R19+ND!R19+Alabama!R19+UNO!R19+KSU!R19+Indiana!R19+Iowa!R19+Washington!R19+MSU!R19+Michigan!R19+Wisconsin!R19+Maryland!R19+Rutgers!R19+Illinois!R19+USC!R19+UCLA!R19+Purdue!R19</f>
        <v>6</v>
      </c>
      <c r="S19">
        <f>Louisville!S19+SD!S19+ND!S19+Alabama!S19+UNO!S19+KSU!S19+Indiana!S19+Iowa!S19+Washington!S19+MSU!S19+Michigan!S19+Wisconsin!S19+Maryland!S19+Rutgers!S19+Illinois!S19+USC!S19+UCLA!S19+Purdue!S19</f>
        <v>0</v>
      </c>
      <c r="T19">
        <f>Louisville!T19+SD!T19+ND!T19+Alabama!T19+UNO!T19+KSU!T19+Indiana!T19+Iowa!T19+Washington!T19+MSU!T19+Michigan!T19+Wisconsin!T19+Maryland!T19+Rutgers!T19+Illinois!T19+USC!T19+UCLA!T19+Purdue!T19</f>
        <v>2</v>
      </c>
      <c r="U19">
        <f>Louisville!U19+SD!U19+ND!U19+Alabama!U19+UNO!U19+KSU!U19+Indiana!U19+Iowa!U19+Washington!U19+MSU!U19+Michigan!U19+Wisconsin!U19+Maryland!U19+Rutgers!U19+Illinois!U19+USC!U19+UCLA!U19+Purdue!U19</f>
        <v>1</v>
      </c>
      <c r="V19">
        <f>Louisville!V19+SD!V19+ND!V19+Alabama!V19+UNO!V19+KSU!V19+Indiana!V19+Iowa!V19+Washington!V19+MSU!V19+Michigan!V19+Wisconsin!V19+Maryland!V19+Rutgers!V19+Illinois!V19+USC!V19+UCLA!V19+Purdue!V19</f>
        <v>0</v>
      </c>
      <c r="W19">
        <f>Louisville!W19+SD!W19+ND!W19+Alabama!W19+UNO!W19+KSU!W19+Indiana!W19+Iowa!W19+Washington!W19+MSU!W19+Michigan!W19+Wisconsin!W19+Maryland!W19+Rutgers!W19+Illinois!W19+USC!W19+UCLA!W19+Purdue!W19</f>
        <v>21</v>
      </c>
      <c r="X19">
        <f>Louisville!X19+SD!X19+ND!X19+Alabama!X19+UNO!X19+KSU!X19+Indiana!X19+Iowa!X19+Washington!X19+MSU!X19+Michigan!X19+Wisconsin!X19+Maryland!X19+Rutgers!X19+Illinois!X19+USC!X19+UCLA!X19+Purdue!X19</f>
        <v>53</v>
      </c>
      <c r="Y19" s="1">
        <f t="shared" si="1"/>
        <v>7.5931232091690545E-2</v>
      </c>
      <c r="Z19">
        <f>Louisville!Z19+SD!Z19+ND!Z19+Alabama!Z19+UNO!Z19+KSU!Z19+Indiana!Z19+Iowa!Z19+Washington!Z19+MSU!Z19+Michigan!Z19+Wisconsin!Z19+Maryland!Z19+Rutgers!Z19+Illinois!Z19+USC!Z19+UCLA!Z19+Purdue!Z19</f>
        <v>134</v>
      </c>
      <c r="AA19" s="1">
        <f t="shared" si="2"/>
        <v>0.19197707736389685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698&lt;/td&gt;&lt;td&gt;2&lt;/td&gt;&lt;td&gt;0&lt;/td&gt;&lt;td&gt;4&lt;/td&gt;&lt;td&gt;11&lt;/td&gt;&lt;td&gt;0&lt;/td&gt;&lt;td&gt;6&lt;/td&gt;&lt;td&gt;17&lt;/td&gt;&lt;td&gt;10&lt;/td&gt;&lt;td&gt;9&lt;/td&gt;&lt;td&gt;8&lt;/td&gt;&lt;td&gt;12&lt;/td&gt;&lt;td&gt;81&lt;/td&gt;&lt;td&gt;0.12&lt;/td&gt;&lt;td&gt;134&lt;/td&gt;&lt;td&gt;0.19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698&lt;/td&gt;&lt;td&gt;14&lt;/td&gt;&lt;td&gt;9&lt;/td&gt;&lt;td&gt;6&lt;/td&gt;&lt;td&gt;0&lt;/td&gt;&lt;td&gt;2&lt;/td&gt;&lt;td&gt;1&lt;/td&gt;&lt;td&gt;0&lt;/td&gt;&lt;td&gt;21&lt;/td&gt;&lt;td&gt;53&lt;/td&gt;&lt;td&gt;0.08&lt;/td&gt;&lt;td&gt;134&lt;/td&gt;&lt;td&gt;0.19&lt;/td&gt;&lt;/tr&gt;</v>
      </c>
    </row>
    <row r="20" spans="1:46" x14ac:dyDescent="0.3">
      <c r="A20" t="s">
        <v>43</v>
      </c>
      <c r="B20">
        <f>Louisville!B20+SD!B20+ND!B20+Alabama!B20+UNO!B20+KSU!B20+Indiana!B20+Iowa!B20+Washington!B20+MSU!B20+Michigan!B20+Wisconsin!B20+Maryland!B20+Rutgers!B20+Illinois!B20+USC!B20+UCLA!B20+Purdue!B20</f>
        <v>0</v>
      </c>
      <c r="C20">
        <f>Louisville!C20+SD!C20+ND!C20+Alabama!C20+UNO!C20+KSU!C20+Indiana!C20+Iowa!C20+Washington!C20+MSU!C20+Michigan!C20+Wisconsin!C20+Maryland!C20+Rutgers!C20+Illinois!C20+USC!C20+UCLA!C20+Purdue!C20</f>
        <v>0</v>
      </c>
      <c r="D20">
        <f>Louisville!D20+SD!D20+ND!D20+Alabama!D20+UNO!D20+KSU!D20+Indiana!D20+Iowa!D20+Washington!D20+MSU!D20+Michigan!D20+Wisconsin!D20+Maryland!D20+Rutgers!D20+Illinois!D20+USC!D20+UCLA!D20+Purdue!D20</f>
        <v>0</v>
      </c>
      <c r="E20">
        <f>Louisville!E20+SD!E20+ND!E20+Alabama!E20+UNO!E20+KSU!E20+Indiana!E20+Iowa!E20+Washington!E20+MSU!E20+Michigan!E20+Wisconsin!E20+Maryland!E20+Rutgers!E20+Illinois!E20+USC!E20+UCLA!E20+Purdue!E20</f>
        <v>0</v>
      </c>
      <c r="F20">
        <f>Louisville!F20+SD!F20+ND!F20+Alabama!F20+UNO!F20+KSU!F20+Indiana!F20+Iowa!F20+Washington!F20+MSU!F20+Michigan!F20+Wisconsin!F20+Maryland!F20+Rutgers!F20+Illinois!F20+USC!F20+UCLA!F20+Purdue!F20</f>
        <v>0</v>
      </c>
      <c r="G20">
        <f>Louisville!G20+SD!G20+ND!G20+Alabama!G20+UNO!G20+KSU!G20+Indiana!G20+Iowa!G20+Washington!G20+MSU!G20+Michigan!G20+Wisconsin!G20+Maryland!G20+Rutgers!G20+Illinois!G20+USC!G20+UCLA!G20+Purdue!G20</f>
        <v>0</v>
      </c>
      <c r="H20">
        <f>Louisville!H20+SD!H20+ND!H20+Alabama!H20+UNO!H20+KSU!H20+Indiana!H20+Iowa!H20+Washington!H20+MSU!H20+Michigan!H20+Wisconsin!H20+Maryland!H20+Rutgers!H20+Illinois!H20+USC!H20+UCLA!H20+Purdue!H20</f>
        <v>0</v>
      </c>
      <c r="I20">
        <f>Louisville!I20+SD!I20+ND!I20+Alabama!I20+UNO!I20+KSU!I20+Indiana!I20+Iowa!I20+Washington!I20+MSU!I20+Michigan!I20+Wisconsin!I20+Maryland!I20+Rutgers!I20+Illinois!I20+USC!I20+UCLA!I20+Purdue!I20</f>
        <v>0</v>
      </c>
      <c r="J20">
        <f>Louisville!J20+SD!J20+ND!J20+Alabama!J20+UNO!J20+KSU!J20+Indiana!J20+Iowa!J20+Washington!J20+MSU!J20+Michigan!J20+Wisconsin!J20+Maryland!J20+Rutgers!J20+Illinois!J20+USC!J20+UCLA!J20+Purdue!J20</f>
        <v>0</v>
      </c>
      <c r="K20">
        <f>Louisville!K20+SD!K20+ND!K20+Alabama!K20+UNO!K20+KSU!K20+Indiana!K20+Iowa!K20+Washington!K20+MSU!K20+Michigan!K20+Wisconsin!K20+Maryland!K20+Rutgers!K20+Illinois!K20+USC!K20+UCLA!K20+Purdue!K20</f>
        <v>0</v>
      </c>
      <c r="L20">
        <f>Louisville!L20+SD!L20+ND!L20+Alabama!L20+UNO!L20+KSU!L20+Indiana!L20+Iowa!L20+Washington!L20+MSU!L20+Michigan!L20+Wisconsin!L20+Maryland!L20+Rutgers!L20+Illinois!L20+USC!L20+UCLA!L20+Purdue!L20</f>
        <v>0</v>
      </c>
      <c r="M20">
        <f>Louisville!M20+SD!M20+ND!M20+Alabama!M20+UNO!M20+KSU!M20+Indiana!M20+Iowa!M20+Washington!M20+MSU!M20+Michigan!M20+Wisconsin!M20+Maryland!M20+Rutgers!M20+Illinois!M20+USC!M20+UCLA!M20+Purdue!M20</f>
        <v>0</v>
      </c>
      <c r="N20">
        <f>Louisville!N20+SD!N20+ND!N20+Alabama!N20+UNO!N20+KSU!N20+Indiana!N20+Iowa!N20+Washington!N20+MSU!N20+Michigan!N20+Wisconsin!N20+Maryland!N20+Rutgers!N20+Illinois!N20+USC!N20+UCLA!N20+Purdue!N20</f>
        <v>0</v>
      </c>
      <c r="O20" s="1">
        <f t="shared" si="0"/>
        <v>0</v>
      </c>
      <c r="P20">
        <f>Louisville!P20+SD!P20+ND!P20+Alabama!P20+UNO!P20+KSU!P20+Indiana!P20+Iowa!P20+Washington!P20+MSU!P20+Michigan!P20+Wisconsin!P20+Maryland!P20+Rutgers!P20+Illinois!P20+USC!P20+UCLA!P20+Purdue!P20</f>
        <v>0</v>
      </c>
      <c r="Q20">
        <f>Louisville!Q20+SD!Q20+ND!Q20+Alabama!Q20+UNO!Q20+KSU!Q20+Indiana!Q20+Iowa!Q20+Washington!Q20+MSU!Q20+Michigan!Q20+Wisconsin!Q20+Maryland!Q20+Rutgers!Q20+Illinois!Q20+USC!Q20+UCLA!Q20+Purdue!Q20</f>
        <v>0</v>
      </c>
      <c r="R20">
        <f>Louisville!R20+SD!R20+ND!R20+Alabama!R20+UNO!R20+KSU!R20+Indiana!R20+Iowa!R20+Washington!R20+MSU!R20+Michigan!R20+Wisconsin!R20+Maryland!R20+Rutgers!R20+Illinois!R20+USC!R20+UCLA!R20+Purdue!R20</f>
        <v>0</v>
      </c>
      <c r="S20">
        <f>Louisville!S20+SD!S20+ND!S20+Alabama!S20+UNO!S20+KSU!S20+Indiana!S20+Iowa!S20+Washington!S20+MSU!S20+Michigan!S20+Wisconsin!S20+Maryland!S20+Rutgers!S20+Illinois!S20+USC!S20+UCLA!S20+Purdue!S20</f>
        <v>0</v>
      </c>
      <c r="T20">
        <f>Louisville!T20+SD!T20+ND!T20+Alabama!T20+UNO!T20+KSU!T20+Indiana!T20+Iowa!T20+Washington!T20+MSU!T20+Michigan!T20+Wisconsin!T20+Maryland!T20+Rutgers!T20+Illinois!T20+USC!T20+UCLA!T20+Purdue!T20</f>
        <v>0</v>
      </c>
      <c r="U20">
        <f>Louisville!U20+SD!U20+ND!U20+Alabama!U20+UNO!U20+KSU!U20+Indiana!U20+Iowa!U20+Washington!U20+MSU!U20+Michigan!U20+Wisconsin!U20+Maryland!U20+Rutgers!U20+Illinois!U20+USC!U20+UCLA!U20+Purdue!U20</f>
        <v>0</v>
      </c>
      <c r="V20">
        <f>Louisville!V20+SD!V20+ND!V20+Alabama!V20+UNO!V20+KSU!V20+Indiana!V20+Iowa!V20+Washington!V20+MSU!V20+Michigan!V20+Wisconsin!V20+Maryland!V20+Rutgers!V20+Illinois!V20+USC!V20+UCLA!V20+Purdue!V20</f>
        <v>0</v>
      </c>
      <c r="W20">
        <f>Louisville!W20+SD!W20+ND!W20+Alabama!W20+UNO!W20+KSU!W20+Indiana!W20+Iowa!W20+Washington!W20+MSU!W20+Michigan!W20+Wisconsin!W20+Maryland!W20+Rutgers!W20+Illinois!W20+USC!W20+UCLA!W20+Purdue!W20</f>
        <v>0</v>
      </c>
      <c r="X20">
        <f>Louisville!X20+SD!X20+ND!X20+Alabama!X20+UNO!X20+KSU!X20+Indiana!X20+Iowa!X20+Washington!X20+MSU!X20+Michigan!X20+Wisconsin!X20+Maryland!X20+Rutgers!X20+Illinois!X20+USC!X20+UCLA!X20+Purdue!X20</f>
        <v>0</v>
      </c>
      <c r="Y20" s="1">
        <f t="shared" si="1"/>
        <v>0</v>
      </c>
      <c r="Z20">
        <f>Louisville!Z20+SD!Z20+ND!Z20+Alabama!Z20+UNO!Z20+KSU!Z20+Indiana!Z20+Iowa!Z20+Washington!Z20+MSU!Z20+Michigan!Z20+Wisconsin!Z20+Maryland!Z20+Rutgers!Z20+Illinois!Z20+USC!Z20+UCLA!Z20+Purdue!Z20</f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f>Louisville!B21+SD!B21+ND!B21+Alabama!B21+UNO!B21+KSU!B21+Indiana!B21+Iowa!B21+Washington!B21+MSU!B21+Michigan!B21+Wisconsin!B21+Maryland!B21+Rutgers!B21+Illinois!B21+USC!B21+UCLA!B21+Purdue!B21</f>
        <v>820</v>
      </c>
      <c r="C21">
        <f>Louisville!C21+SD!C21+ND!C21+Alabama!C21+UNO!C21+KSU!C21+Indiana!C21+Iowa!C21+Washington!C21+MSU!C21+Michigan!C21+Wisconsin!C21+Maryland!C21+Rutgers!C21+Illinois!C21+USC!C21+UCLA!C21+Purdue!C21</f>
        <v>1</v>
      </c>
      <c r="D21">
        <f>Louisville!D21+SD!D21+ND!D21+Alabama!D21+UNO!D21+KSU!D21+Indiana!D21+Iowa!D21+Washington!D21+MSU!D21+Michigan!D21+Wisconsin!D21+Maryland!D21+Rutgers!D21+Illinois!D21+USC!D21+UCLA!D21+Purdue!D21</f>
        <v>0</v>
      </c>
      <c r="E21">
        <f>Louisville!E21+SD!E21+ND!E21+Alabama!E21+UNO!E21+KSU!E21+Indiana!E21+Iowa!E21+Washington!E21+MSU!E21+Michigan!E21+Wisconsin!E21+Maryland!E21+Rutgers!E21+Illinois!E21+USC!E21+UCLA!E21+Purdue!E21</f>
        <v>1</v>
      </c>
      <c r="F21">
        <f>Louisville!F21+SD!F21+ND!F21+Alabama!F21+UNO!F21+KSU!F21+Indiana!F21+Iowa!F21+Washington!F21+MSU!F21+Michigan!F21+Wisconsin!F21+Maryland!F21+Rutgers!F21+Illinois!F21+USC!F21+UCLA!F21+Purdue!F21</f>
        <v>35</v>
      </c>
      <c r="G21">
        <f>Louisville!G21+SD!G21+ND!G21+Alabama!G21+UNO!G21+KSU!G21+Indiana!G21+Iowa!G21+Washington!G21+MSU!G21+Michigan!G21+Wisconsin!G21+Maryland!G21+Rutgers!G21+Illinois!G21+USC!G21+UCLA!G21+Purdue!G21</f>
        <v>4</v>
      </c>
      <c r="H21">
        <f>Louisville!H21+SD!H21+ND!H21+Alabama!H21+UNO!H21+KSU!H21+Indiana!H21+Iowa!H21+Washington!H21+MSU!H21+Michigan!H21+Wisconsin!H21+Maryland!H21+Rutgers!H21+Illinois!H21+USC!H21+UCLA!H21+Purdue!H21</f>
        <v>2</v>
      </c>
      <c r="I21">
        <f>Louisville!I21+SD!I21+ND!I21+Alabama!I21+UNO!I21+KSU!I21+Indiana!I21+Iowa!I21+Washington!I21+MSU!I21+Michigan!I21+Wisconsin!I21+Maryland!I21+Rutgers!I21+Illinois!I21+USC!I21+UCLA!I21+Purdue!I21</f>
        <v>13</v>
      </c>
      <c r="J21">
        <f>Louisville!J21+SD!J21+ND!J21+Alabama!J21+UNO!J21+KSU!J21+Indiana!J21+Iowa!J21+Washington!J21+MSU!J21+Michigan!J21+Wisconsin!J21+Maryland!J21+Rutgers!J21+Illinois!J21+USC!J21+UCLA!J21+Purdue!J21</f>
        <v>16</v>
      </c>
      <c r="K21">
        <f>Louisville!K21+SD!K21+ND!K21+Alabama!K21+UNO!K21+KSU!K21+Indiana!K21+Iowa!K21+Washington!K21+MSU!K21+Michigan!K21+Wisconsin!K21+Maryland!K21+Rutgers!K21+Illinois!K21+USC!K21+UCLA!K21+Purdue!K21</f>
        <v>9</v>
      </c>
      <c r="L21">
        <f>Louisville!L21+SD!L21+ND!L21+Alabama!L21+UNO!L21+KSU!L21+Indiana!L21+Iowa!L21+Washington!L21+MSU!L21+Michigan!L21+Wisconsin!L21+Maryland!L21+Rutgers!L21+Illinois!L21+USC!L21+UCLA!L21+Purdue!L21</f>
        <v>5</v>
      </c>
      <c r="M21">
        <f>Louisville!M21+SD!M21+ND!M21+Alabama!M21+UNO!M21+KSU!M21+Indiana!M21+Iowa!M21+Washington!M21+MSU!M21+Michigan!M21+Wisconsin!M21+Maryland!M21+Rutgers!M21+Illinois!M21+USC!M21+UCLA!M21+Purdue!M21</f>
        <v>3</v>
      </c>
      <c r="N21">
        <f>Louisville!N21+SD!N21+ND!N21+Alabama!N21+UNO!N21+KSU!N21+Indiana!N21+Iowa!N21+Washington!N21+MSU!N21+Michigan!N21+Wisconsin!N21+Maryland!N21+Rutgers!N21+Illinois!N21+USC!N21+UCLA!N21+Purdue!N21</f>
        <v>85</v>
      </c>
      <c r="O21" s="1">
        <f t="shared" si="0"/>
        <v>0.10365853658536585</v>
      </c>
      <c r="P21">
        <f>Louisville!P21+SD!P21+ND!P21+Alabama!P21+UNO!P21+KSU!P21+Indiana!P21+Iowa!P21+Washington!P21+MSU!P21+Michigan!P21+Wisconsin!P21+Maryland!P21+Rutgers!P21+Illinois!P21+USC!P21+UCLA!P21+Purdue!P21</f>
        <v>34</v>
      </c>
      <c r="Q21">
        <f>Louisville!Q21+SD!Q21+ND!Q21+Alabama!Q21+UNO!Q21+KSU!Q21+Indiana!Q21+Iowa!Q21+Washington!Q21+MSU!Q21+Michigan!Q21+Wisconsin!Q21+Maryland!Q21+Rutgers!Q21+Illinois!Q21+USC!Q21+UCLA!Q21+Purdue!Q21</f>
        <v>45</v>
      </c>
      <c r="R21">
        <f>Louisville!R21+SD!R21+ND!R21+Alabama!R21+UNO!R21+KSU!R21+Indiana!R21+Iowa!R21+Washington!R21+MSU!R21+Michigan!R21+Wisconsin!R21+Maryland!R21+Rutgers!R21+Illinois!R21+USC!R21+UCLA!R21+Purdue!R21</f>
        <v>16</v>
      </c>
      <c r="S21">
        <f>Louisville!S21+SD!S21+ND!S21+Alabama!S21+UNO!S21+KSU!S21+Indiana!S21+Iowa!S21+Washington!S21+MSU!S21+Michigan!S21+Wisconsin!S21+Maryland!S21+Rutgers!S21+Illinois!S21+USC!S21+UCLA!S21+Purdue!S21</f>
        <v>3</v>
      </c>
      <c r="T21">
        <f>Louisville!T21+SD!T21+ND!T21+Alabama!T21+UNO!T21+KSU!T21+Indiana!T21+Iowa!T21+Washington!T21+MSU!T21+Michigan!T21+Wisconsin!T21+Maryland!T21+Rutgers!T21+Illinois!T21+USC!T21+UCLA!T21+Purdue!T21</f>
        <v>8</v>
      </c>
      <c r="U21">
        <f>Louisville!U21+SD!U21+ND!U21+Alabama!U21+UNO!U21+KSU!U21+Indiana!U21+Iowa!U21+Washington!U21+MSU!U21+Michigan!U21+Wisconsin!U21+Maryland!U21+Rutgers!U21+Illinois!U21+USC!U21+UCLA!U21+Purdue!U21</f>
        <v>7</v>
      </c>
      <c r="V21">
        <f>Louisville!V21+SD!V21+ND!V21+Alabama!V21+UNO!V21+KSU!V21+Indiana!V21+Iowa!V21+Washington!V21+MSU!V21+Michigan!V21+Wisconsin!V21+Maryland!V21+Rutgers!V21+Illinois!V21+USC!V21+UCLA!V21+Purdue!V21</f>
        <v>50</v>
      </c>
      <c r="W21">
        <f>Louisville!W21+SD!W21+ND!W21+Alabama!W21+UNO!W21+KSU!W21+Indiana!W21+Iowa!W21+Washington!W21+MSU!W21+Michigan!W21+Wisconsin!W21+Maryland!W21+Rutgers!W21+Illinois!W21+USC!W21+UCLA!W21+Purdue!W21</f>
        <v>53</v>
      </c>
      <c r="X21">
        <f>Louisville!X21+SD!X21+ND!X21+Alabama!X21+UNO!X21+KSU!X21+Indiana!X21+Iowa!X21+Washington!X21+MSU!X21+Michigan!X21+Wisconsin!X21+Maryland!X21+Rutgers!X21+Illinois!X21+USC!X21+UCLA!X21+Purdue!X21</f>
        <v>216</v>
      </c>
      <c r="Y21" s="1">
        <f t="shared" si="1"/>
        <v>0.26341463414634148</v>
      </c>
      <c r="Z21">
        <f>Louisville!Z21+SD!Z21+ND!Z21+Alabama!Z21+UNO!Z21+KSU!Z21+Indiana!Z21+Iowa!Z21+Washington!Z21+MSU!Z21+Michigan!Z21+Wisconsin!Z21+Maryland!Z21+Rutgers!Z21+Illinois!Z21+USC!Z21+UCLA!Z21+Purdue!Z21</f>
        <v>301</v>
      </c>
      <c r="AA21" s="1">
        <f t="shared" si="2"/>
        <v>0.36707317073170731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820&lt;/td&gt;&lt;td&gt;1&lt;/td&gt;&lt;td&gt;0&lt;/td&gt;&lt;td&gt;1&lt;/td&gt;&lt;td&gt;35&lt;/td&gt;&lt;td&gt;4&lt;/td&gt;&lt;td&gt;2&lt;/td&gt;&lt;td&gt;13&lt;/td&gt;&lt;td&gt;16&lt;/td&gt;&lt;td&gt;9&lt;/td&gt;&lt;td&gt;5&lt;/td&gt;&lt;td&gt;3&lt;/td&gt;&lt;td&gt;85&lt;/td&gt;&lt;td&gt;0.10&lt;/td&gt;&lt;td&gt;301&lt;/td&gt;&lt;td&gt;0.37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820&lt;/td&gt;&lt;td&gt;34&lt;/td&gt;&lt;td&gt;45&lt;/td&gt;&lt;td&gt;16&lt;/td&gt;&lt;td&gt;3&lt;/td&gt;&lt;td&gt;8&lt;/td&gt;&lt;td&gt;7&lt;/td&gt;&lt;td&gt;50&lt;/td&gt;&lt;td&gt;53&lt;/td&gt;&lt;td&gt;216&lt;/td&gt;&lt;td&gt;0.26&lt;/td&gt;&lt;td&gt;301&lt;/td&gt;&lt;td&gt;0.37&lt;/td&gt;&lt;/tr&gt;</v>
      </c>
    </row>
    <row r="22" spans="1:46" x14ac:dyDescent="0.3">
      <c r="A22" t="s">
        <v>45</v>
      </c>
      <c r="B22">
        <f>Louisville!B22+SD!B22+ND!B22+Alabama!B22+UNO!B22+KSU!B22+Indiana!B22+Iowa!B22+Washington!B22+MSU!B22+Michigan!B22+Wisconsin!B22+Maryland!B22+Rutgers!B22+Illinois!B22+USC!B22+UCLA!B22+Purdue!B22</f>
        <v>984</v>
      </c>
      <c r="C22">
        <f>Louisville!C22+SD!C22+ND!C22+Alabama!C22+UNO!C22+KSU!C22+Indiana!C22+Iowa!C22+Washington!C22+MSU!C22+Michigan!C22+Wisconsin!C22+Maryland!C22+Rutgers!C22+Illinois!C22+USC!C22+UCLA!C22+Purdue!C22</f>
        <v>1</v>
      </c>
      <c r="D22">
        <f>Louisville!D22+SD!D22+ND!D22+Alabama!D22+UNO!D22+KSU!D22+Indiana!D22+Iowa!D22+Washington!D22+MSU!D22+Michigan!D22+Wisconsin!D22+Maryland!D22+Rutgers!D22+Illinois!D22+USC!D22+UCLA!D22+Purdue!D22</f>
        <v>1</v>
      </c>
      <c r="E22">
        <f>Louisville!E22+SD!E22+ND!E22+Alabama!E22+UNO!E22+KSU!E22+Indiana!E22+Iowa!E22+Washington!E22+MSU!E22+Michigan!E22+Wisconsin!E22+Maryland!E22+Rutgers!E22+Illinois!E22+USC!E22+UCLA!E22+Purdue!E22</f>
        <v>1</v>
      </c>
      <c r="F22">
        <f>Louisville!F22+SD!F22+ND!F22+Alabama!F22+UNO!F22+KSU!F22+Indiana!F22+Iowa!F22+Washington!F22+MSU!F22+Michigan!F22+Wisconsin!F22+Maryland!F22+Rutgers!F22+Illinois!F22+USC!F22+UCLA!F22+Purdue!F22</f>
        <v>24</v>
      </c>
      <c r="G22">
        <f>Louisville!G22+SD!G22+ND!G22+Alabama!G22+UNO!G22+KSU!G22+Indiana!G22+Iowa!G22+Washington!G22+MSU!G22+Michigan!G22+Wisconsin!G22+Maryland!G22+Rutgers!G22+Illinois!G22+USC!G22+UCLA!G22+Purdue!G22</f>
        <v>1</v>
      </c>
      <c r="H22">
        <f>Louisville!H22+SD!H22+ND!H22+Alabama!H22+UNO!H22+KSU!H22+Indiana!H22+Iowa!H22+Washington!H22+MSU!H22+Michigan!H22+Wisconsin!H22+Maryland!H22+Rutgers!H22+Illinois!H22+USC!H22+UCLA!H22+Purdue!H22</f>
        <v>2</v>
      </c>
      <c r="I22">
        <f>Louisville!I22+SD!I22+ND!I22+Alabama!I22+UNO!I22+KSU!I22+Indiana!I22+Iowa!I22+Washington!I22+MSU!I22+Michigan!I22+Wisconsin!I22+Maryland!I22+Rutgers!I22+Illinois!I22+USC!I22+UCLA!I22+Purdue!I22</f>
        <v>2</v>
      </c>
      <c r="J22">
        <f>Louisville!J22+SD!J22+ND!J22+Alabama!J22+UNO!J22+KSU!J22+Indiana!J22+Iowa!J22+Washington!J22+MSU!J22+Michigan!J22+Wisconsin!J22+Maryland!J22+Rutgers!J22+Illinois!J22+USC!J22+UCLA!J22+Purdue!J22</f>
        <v>11</v>
      </c>
      <c r="K22">
        <f>Louisville!K22+SD!K22+ND!K22+Alabama!K22+UNO!K22+KSU!K22+Indiana!K22+Iowa!K22+Washington!K22+MSU!K22+Michigan!K22+Wisconsin!K22+Maryland!K22+Rutgers!K22+Illinois!K22+USC!K22+UCLA!K22+Purdue!K22</f>
        <v>8</v>
      </c>
      <c r="L22">
        <f>Louisville!L22+SD!L22+ND!L22+Alabama!L22+UNO!L22+KSU!L22+Indiana!L22+Iowa!L22+Washington!L22+MSU!L22+Michigan!L22+Wisconsin!L22+Maryland!L22+Rutgers!L22+Illinois!L22+USC!L22+UCLA!L22+Purdue!L22</f>
        <v>10</v>
      </c>
      <c r="M22">
        <f>Louisville!M22+SD!M22+ND!M22+Alabama!M22+UNO!M22+KSU!M22+Indiana!M22+Iowa!M22+Washington!M22+MSU!M22+Michigan!M22+Wisconsin!M22+Maryland!M22+Rutgers!M22+Illinois!M22+USC!M22+UCLA!M22+Purdue!M22</f>
        <v>4</v>
      </c>
      <c r="N22">
        <f>Louisville!N22+SD!N22+ND!N22+Alabama!N22+UNO!N22+KSU!N22+Indiana!N22+Iowa!N22+Washington!N22+MSU!N22+Michigan!N22+Wisconsin!N22+Maryland!N22+Rutgers!N22+Illinois!N22+USC!N22+UCLA!N22+Purdue!N22</f>
        <v>68</v>
      </c>
      <c r="O22" s="1">
        <f t="shared" si="0"/>
        <v>6.910569105691057E-2</v>
      </c>
      <c r="P22">
        <f>Louisville!P22+SD!P22+ND!P22+Alabama!P22+UNO!P22+KSU!P22+Indiana!P22+Iowa!P22+Washington!P22+MSU!P22+Michigan!P22+Wisconsin!P22+Maryland!P22+Rutgers!P22+Illinois!P22+USC!P22+UCLA!P22+Purdue!P22</f>
        <v>33</v>
      </c>
      <c r="Q22">
        <f>Louisville!Q22+SD!Q22+ND!Q22+Alabama!Q22+UNO!Q22+KSU!Q22+Indiana!Q22+Iowa!Q22+Washington!Q22+MSU!Q22+Michigan!Q22+Wisconsin!Q22+Maryland!Q22+Rutgers!Q22+Illinois!Q22+USC!Q22+UCLA!Q22+Purdue!Q22</f>
        <v>53</v>
      </c>
      <c r="R22">
        <f>Louisville!R22+SD!R22+ND!R22+Alabama!R22+UNO!R22+KSU!R22+Indiana!R22+Iowa!R22+Washington!R22+MSU!R22+Michigan!R22+Wisconsin!R22+Maryland!R22+Rutgers!R22+Illinois!R22+USC!R22+UCLA!R22+Purdue!R22</f>
        <v>19</v>
      </c>
      <c r="S22">
        <f>Louisville!S22+SD!S22+ND!S22+Alabama!S22+UNO!S22+KSU!S22+Indiana!S22+Iowa!S22+Washington!S22+MSU!S22+Michigan!S22+Wisconsin!S22+Maryland!S22+Rutgers!S22+Illinois!S22+USC!S22+UCLA!S22+Purdue!S22</f>
        <v>12</v>
      </c>
      <c r="T22">
        <f>Louisville!T22+SD!T22+ND!T22+Alabama!T22+UNO!T22+KSU!T22+Indiana!T22+Iowa!T22+Washington!T22+MSU!T22+Michigan!T22+Wisconsin!T22+Maryland!T22+Rutgers!T22+Illinois!T22+USC!T22+UCLA!T22+Purdue!T22</f>
        <v>33</v>
      </c>
      <c r="U22">
        <f>Louisville!U22+SD!U22+ND!U22+Alabama!U22+UNO!U22+KSU!U22+Indiana!U22+Iowa!U22+Washington!U22+MSU!U22+Michigan!U22+Wisconsin!U22+Maryland!U22+Rutgers!U22+Illinois!U22+USC!U22+UCLA!U22+Purdue!U22</f>
        <v>6</v>
      </c>
      <c r="V22">
        <f>Louisville!V22+SD!V22+ND!V22+Alabama!V22+UNO!V22+KSU!V22+Indiana!V22+Iowa!V22+Washington!V22+MSU!V22+Michigan!V22+Wisconsin!V22+Maryland!V22+Rutgers!V22+Illinois!V22+USC!V22+UCLA!V22+Purdue!V22</f>
        <v>125</v>
      </c>
      <c r="W22">
        <f>Louisville!W22+SD!W22+ND!W22+Alabama!W22+UNO!W22+KSU!W22+Indiana!W22+Iowa!W22+Washington!W22+MSU!W22+Michigan!W22+Wisconsin!W22+Maryland!W22+Rutgers!W22+Illinois!W22+USC!W22+UCLA!W22+Purdue!W22</f>
        <v>32</v>
      </c>
      <c r="X22">
        <f>Louisville!X22+SD!X22+ND!X22+Alabama!X22+UNO!X22+KSU!X22+Indiana!X22+Iowa!X22+Washington!X22+MSU!X22+Michigan!X22+Wisconsin!X22+Maryland!X22+Rutgers!X22+Illinois!X22+USC!X22+UCLA!X22+Purdue!X22</f>
        <v>313</v>
      </c>
      <c r="Y22" s="1">
        <f t="shared" si="1"/>
        <v>0.31808943089430897</v>
      </c>
      <c r="Z22">
        <f>Louisville!Z22+SD!Z22+ND!Z22+Alabama!Z22+UNO!Z22+KSU!Z22+Indiana!Z22+Iowa!Z22+Washington!Z22+MSU!Z22+Michigan!Z22+Wisconsin!Z22+Maryland!Z22+Rutgers!Z22+Illinois!Z22+USC!Z22+UCLA!Z22+Purdue!Z22</f>
        <v>381</v>
      </c>
      <c r="AA22" s="1">
        <f t="shared" si="2"/>
        <v>0.38719512195121952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984&lt;/td&gt;&lt;td&gt;1&lt;/td&gt;&lt;td&gt;1&lt;/td&gt;&lt;td&gt;1&lt;/td&gt;&lt;td&gt;24&lt;/td&gt;&lt;td&gt;1&lt;/td&gt;&lt;td&gt;2&lt;/td&gt;&lt;td&gt;2&lt;/td&gt;&lt;td&gt;11&lt;/td&gt;&lt;td&gt;8&lt;/td&gt;&lt;td&gt;10&lt;/td&gt;&lt;td&gt;4&lt;/td&gt;&lt;td&gt;68&lt;/td&gt;&lt;td&gt;0.07&lt;/td&gt;&lt;td&gt;381&lt;/td&gt;&lt;td&gt;0.39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984&lt;/td&gt;&lt;td&gt;33&lt;/td&gt;&lt;td&gt;53&lt;/td&gt;&lt;td&gt;19&lt;/td&gt;&lt;td&gt;12&lt;/td&gt;&lt;td&gt;33&lt;/td&gt;&lt;td&gt;6&lt;/td&gt;&lt;td&gt;125&lt;/td&gt;&lt;td&gt;32&lt;/td&gt;&lt;td&gt;313&lt;/td&gt;&lt;td&gt;0.32&lt;/td&gt;&lt;td&gt;381&lt;/td&gt;&lt;td&gt;0.39&lt;/td&gt;&lt;/tr&gt;</v>
      </c>
    </row>
    <row r="23" spans="1:46" x14ac:dyDescent="0.3">
      <c r="A23" t="s">
        <v>46</v>
      </c>
      <c r="B23">
        <f>Louisville!B23+SD!B23+ND!B23+Alabama!B23+UNO!B23+KSU!B23+Indiana!B23+Iowa!B23+Washington!B23+MSU!B23+Michigan!B23+Wisconsin!B23+Maryland!B23+Rutgers!B23+Illinois!B23+USC!B23+UCLA!B23+Purdue!B23</f>
        <v>9</v>
      </c>
      <c r="C23">
        <f>Louisville!C23+SD!C23+ND!C23+Alabama!C23+UNO!C23+KSU!C23+Indiana!C23+Iowa!C23+Washington!C23+MSU!C23+Michigan!C23+Wisconsin!C23+Maryland!C23+Rutgers!C23+Illinois!C23+USC!C23+UCLA!C23+Purdue!C23</f>
        <v>0</v>
      </c>
      <c r="D23">
        <f>Louisville!D23+SD!D23+ND!D23+Alabama!D23+UNO!D23+KSU!D23+Indiana!D23+Iowa!D23+Washington!D23+MSU!D23+Michigan!D23+Wisconsin!D23+Maryland!D23+Rutgers!D23+Illinois!D23+USC!D23+UCLA!D23+Purdue!D23</f>
        <v>1</v>
      </c>
      <c r="E23">
        <f>Louisville!E23+SD!E23+ND!E23+Alabama!E23+UNO!E23+KSU!E23+Indiana!E23+Iowa!E23+Washington!E23+MSU!E23+Michigan!E23+Wisconsin!E23+Maryland!E23+Rutgers!E23+Illinois!E23+USC!E23+UCLA!E23+Purdue!E23</f>
        <v>1</v>
      </c>
      <c r="F23">
        <f>Louisville!F23+SD!F23+ND!F23+Alabama!F23+UNO!F23+KSU!F23+Indiana!F23+Iowa!F23+Washington!F23+MSU!F23+Michigan!F23+Wisconsin!F23+Maryland!F23+Rutgers!F23+Illinois!F23+USC!F23+UCLA!F23+Purdue!F23</f>
        <v>1</v>
      </c>
      <c r="G23">
        <f>Louisville!G23+SD!G23+ND!G23+Alabama!G23+UNO!G23+KSU!G23+Indiana!G23+Iowa!G23+Washington!G23+MSU!G23+Michigan!G23+Wisconsin!G23+Maryland!G23+Rutgers!G23+Illinois!G23+USC!G23+UCLA!G23+Purdue!G23</f>
        <v>0</v>
      </c>
      <c r="H23">
        <f>Louisville!H23+SD!H23+ND!H23+Alabama!H23+UNO!H23+KSU!H23+Indiana!H23+Iowa!H23+Washington!H23+MSU!H23+Michigan!H23+Wisconsin!H23+Maryland!H23+Rutgers!H23+Illinois!H23+USC!H23+UCLA!H23+Purdue!H23</f>
        <v>1</v>
      </c>
      <c r="I23">
        <f>Louisville!I23+SD!I23+ND!I23+Alabama!I23+UNO!I23+KSU!I23+Indiana!I23+Iowa!I23+Washington!I23+MSU!I23+Michigan!I23+Wisconsin!I23+Maryland!I23+Rutgers!I23+Illinois!I23+USC!I23+UCLA!I23+Purdue!I23</f>
        <v>0</v>
      </c>
      <c r="J23">
        <f>Louisville!J23+SD!J23+ND!J23+Alabama!J23+UNO!J23+KSU!J23+Indiana!J23+Iowa!J23+Washington!J23+MSU!J23+Michigan!J23+Wisconsin!J23+Maryland!J23+Rutgers!J23+Illinois!J23+USC!J23+UCLA!J23+Purdue!J23</f>
        <v>0</v>
      </c>
      <c r="K23">
        <f>Louisville!K23+SD!K23+ND!K23+Alabama!K23+UNO!K23+KSU!K23+Indiana!K23+Iowa!K23+Washington!K23+MSU!K23+Michigan!K23+Wisconsin!K23+Maryland!K23+Rutgers!K23+Illinois!K23+USC!K23+UCLA!K23+Purdue!K23</f>
        <v>0</v>
      </c>
      <c r="L23">
        <f>Louisville!L23+SD!L23+ND!L23+Alabama!L23+UNO!L23+KSU!L23+Indiana!L23+Iowa!L23+Washington!L23+MSU!L23+Michigan!L23+Wisconsin!L23+Maryland!L23+Rutgers!L23+Illinois!L23+USC!L23+UCLA!L23+Purdue!L23</f>
        <v>0</v>
      </c>
      <c r="M23">
        <f>Louisville!M23+SD!M23+ND!M23+Alabama!M23+UNO!M23+KSU!M23+Indiana!M23+Iowa!M23+Washington!M23+MSU!M23+Michigan!M23+Wisconsin!M23+Maryland!M23+Rutgers!M23+Illinois!M23+USC!M23+UCLA!M23+Purdue!M23</f>
        <v>0</v>
      </c>
      <c r="N23">
        <f>Louisville!N23+SD!N23+ND!N23+Alabama!N23+UNO!N23+KSU!N23+Indiana!N23+Iowa!N23+Washington!N23+MSU!N23+Michigan!N23+Wisconsin!N23+Maryland!N23+Rutgers!N23+Illinois!N23+USC!N23+UCLA!N23+Purdue!N23</f>
        <v>4</v>
      </c>
      <c r="O23" s="1">
        <f t="shared" si="0"/>
        <v>0.44444444444444442</v>
      </c>
      <c r="P23">
        <f>Louisville!P23+SD!P23+ND!P23+Alabama!P23+UNO!P23+KSU!P23+Indiana!P23+Iowa!P23+Washington!P23+MSU!P23+Michigan!P23+Wisconsin!P23+Maryland!P23+Rutgers!P23+Illinois!P23+USC!P23+UCLA!P23+Purdue!P23</f>
        <v>0</v>
      </c>
      <c r="Q23">
        <f>Louisville!Q23+SD!Q23+ND!Q23+Alabama!Q23+UNO!Q23+KSU!Q23+Indiana!Q23+Iowa!Q23+Washington!Q23+MSU!Q23+Michigan!Q23+Wisconsin!Q23+Maryland!Q23+Rutgers!Q23+Illinois!Q23+USC!Q23+UCLA!Q23+Purdue!Q23</f>
        <v>1</v>
      </c>
      <c r="R23">
        <f>Louisville!R23+SD!R23+ND!R23+Alabama!R23+UNO!R23+KSU!R23+Indiana!R23+Iowa!R23+Washington!R23+MSU!R23+Michigan!R23+Wisconsin!R23+Maryland!R23+Rutgers!R23+Illinois!R23+USC!R23+UCLA!R23+Purdue!R23</f>
        <v>1</v>
      </c>
      <c r="S23">
        <f>Louisville!S23+SD!S23+ND!S23+Alabama!S23+UNO!S23+KSU!S23+Indiana!S23+Iowa!S23+Washington!S23+MSU!S23+Michigan!S23+Wisconsin!S23+Maryland!S23+Rutgers!S23+Illinois!S23+USC!S23+UCLA!S23+Purdue!S23</f>
        <v>0</v>
      </c>
      <c r="T23">
        <f>Louisville!T23+SD!T23+ND!T23+Alabama!T23+UNO!T23+KSU!T23+Indiana!T23+Iowa!T23+Washington!T23+MSU!T23+Michigan!T23+Wisconsin!T23+Maryland!T23+Rutgers!T23+Illinois!T23+USC!T23+UCLA!T23+Purdue!T23</f>
        <v>0</v>
      </c>
      <c r="U23">
        <f>Louisville!U23+SD!U23+ND!U23+Alabama!U23+UNO!U23+KSU!U23+Indiana!U23+Iowa!U23+Washington!U23+MSU!U23+Michigan!U23+Wisconsin!U23+Maryland!U23+Rutgers!U23+Illinois!U23+USC!U23+UCLA!U23+Purdue!U23</f>
        <v>0</v>
      </c>
      <c r="V23">
        <f>Louisville!V23+SD!V23+ND!V23+Alabama!V23+UNO!V23+KSU!V23+Indiana!V23+Iowa!V23+Washington!V23+MSU!V23+Michigan!V23+Wisconsin!V23+Maryland!V23+Rutgers!V23+Illinois!V23+USC!V23+UCLA!V23+Purdue!V23</f>
        <v>0</v>
      </c>
      <c r="W23">
        <f>Louisville!W23+SD!W23+ND!W23+Alabama!W23+UNO!W23+KSU!W23+Indiana!W23+Iowa!W23+Washington!W23+MSU!W23+Michigan!W23+Wisconsin!W23+Maryland!W23+Rutgers!W23+Illinois!W23+USC!W23+UCLA!W23+Purdue!W23</f>
        <v>0</v>
      </c>
      <c r="X23">
        <f>Louisville!X23+SD!X23+ND!X23+Alabama!X23+UNO!X23+KSU!X23+Indiana!X23+Iowa!X23+Washington!X23+MSU!X23+Michigan!X23+Wisconsin!X23+Maryland!X23+Rutgers!X23+Illinois!X23+USC!X23+UCLA!X23+Purdue!X23</f>
        <v>2</v>
      </c>
      <c r="Y23" s="1">
        <f t="shared" si="1"/>
        <v>0.22222222222222221</v>
      </c>
      <c r="Z23">
        <f>Louisville!Z23+SD!Z23+ND!Z23+Alabama!Z23+UNO!Z23+KSU!Z23+Indiana!Z23+Iowa!Z23+Washington!Z23+MSU!Z23+Michigan!Z23+Wisconsin!Z23+Maryland!Z23+Rutgers!Z23+Illinois!Z23+USC!Z23+UCLA!Z23+Purdue!Z23</f>
        <v>6</v>
      </c>
      <c r="AA23" s="1">
        <f t="shared" si="2"/>
        <v>0.66666666666666663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9&lt;/td&gt;&lt;td&gt;0&lt;/td&gt;&lt;td&gt;1&lt;/td&gt;&lt;td&gt;1&lt;/td&gt;&lt;td&gt;1&lt;/td&gt;&lt;td&gt;0&lt;/td&gt;&lt;td&gt;1&lt;/td&gt;&lt;td&gt;0&lt;/td&gt;&lt;td&gt;0&lt;/td&gt;&lt;td&gt;0&lt;/td&gt;&lt;td&gt;0&lt;/td&gt;&lt;td&gt;0&lt;/td&gt;&lt;td&gt;4&lt;/td&gt;&lt;td&gt;0.44&lt;/td&gt;&lt;td&gt;6&lt;/td&gt;&lt;td&gt;0.67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9&lt;/td&gt;&lt;td&gt;0&lt;/td&gt;&lt;td&gt;1&lt;/td&gt;&lt;td&gt;1&lt;/td&gt;&lt;td&gt;0&lt;/td&gt;&lt;td&gt;0&lt;/td&gt;&lt;td&gt;0&lt;/td&gt;&lt;td&gt;0&lt;/td&gt;&lt;td&gt;0&lt;/td&gt;&lt;td&gt;2&lt;/td&gt;&lt;td&gt;0.22&lt;/td&gt;&lt;td&gt;6&lt;/td&gt;&lt;td&gt;0.67&lt;/td&gt;&lt;/tr&gt;</v>
      </c>
    </row>
    <row r="24" spans="1:46" x14ac:dyDescent="0.3">
      <c r="A24" t="s">
        <v>47</v>
      </c>
      <c r="B24">
        <f>Louisville!B24+SD!B24+ND!B24+Alabama!B24+UNO!B24+KSU!B24+Indiana!B24+Iowa!B24+Washington!B24+MSU!B24+Michigan!B24+Wisconsin!B24+Maryland!B24+Rutgers!B24+Illinois!B24+USC!B24+UCLA!B24+Purdue!B24</f>
        <v>848</v>
      </c>
      <c r="C24">
        <f>Louisville!C24+SD!C24+ND!C24+Alabama!C24+UNO!C24+KSU!C24+Indiana!C24+Iowa!C24+Washington!C24+MSU!C24+Michigan!C24+Wisconsin!C24+Maryland!C24+Rutgers!C24+Illinois!C24+USC!C24+UCLA!C24+Purdue!C24</f>
        <v>0</v>
      </c>
      <c r="D24">
        <f>Louisville!D24+SD!D24+ND!D24+Alabama!D24+UNO!D24+KSU!D24+Indiana!D24+Iowa!D24+Washington!D24+MSU!D24+Michigan!D24+Wisconsin!D24+Maryland!D24+Rutgers!D24+Illinois!D24+USC!D24+UCLA!D24+Purdue!D24</f>
        <v>1</v>
      </c>
      <c r="E24">
        <f>Louisville!E24+SD!E24+ND!E24+Alabama!E24+UNO!E24+KSU!E24+Indiana!E24+Iowa!E24+Washington!E24+MSU!E24+Michigan!E24+Wisconsin!E24+Maryland!E24+Rutgers!E24+Illinois!E24+USC!E24+UCLA!E24+Purdue!E24</f>
        <v>6</v>
      </c>
      <c r="F24">
        <f>Louisville!F24+SD!F24+ND!F24+Alabama!F24+UNO!F24+KSU!F24+Indiana!F24+Iowa!F24+Washington!F24+MSU!F24+Michigan!F24+Wisconsin!F24+Maryland!F24+Rutgers!F24+Illinois!F24+USC!F24+UCLA!F24+Purdue!F24</f>
        <v>57</v>
      </c>
      <c r="G24">
        <f>Louisville!G24+SD!G24+ND!G24+Alabama!G24+UNO!G24+KSU!G24+Indiana!G24+Iowa!G24+Washington!G24+MSU!G24+Michigan!G24+Wisconsin!G24+Maryland!G24+Rutgers!G24+Illinois!G24+USC!G24+UCLA!G24+Purdue!G24</f>
        <v>8</v>
      </c>
      <c r="H24">
        <f>Louisville!H24+SD!H24+ND!H24+Alabama!H24+UNO!H24+KSU!H24+Indiana!H24+Iowa!H24+Washington!H24+MSU!H24+Michigan!H24+Wisconsin!H24+Maryland!H24+Rutgers!H24+Illinois!H24+USC!H24+UCLA!H24+Purdue!H24</f>
        <v>3</v>
      </c>
      <c r="I24">
        <f>Louisville!I24+SD!I24+ND!I24+Alabama!I24+UNO!I24+KSU!I24+Indiana!I24+Iowa!I24+Washington!I24+MSU!I24+Michigan!I24+Wisconsin!I24+Maryland!I24+Rutgers!I24+Illinois!I24+USC!I24+UCLA!I24+Purdue!I24</f>
        <v>37</v>
      </c>
      <c r="J24">
        <f>Louisville!J24+SD!J24+ND!J24+Alabama!J24+UNO!J24+KSU!J24+Indiana!J24+Iowa!J24+Washington!J24+MSU!J24+Michigan!J24+Wisconsin!J24+Maryland!J24+Rutgers!J24+Illinois!J24+USC!J24+UCLA!J24+Purdue!J24</f>
        <v>3</v>
      </c>
      <c r="K24">
        <f>Louisville!K24+SD!K24+ND!K24+Alabama!K24+UNO!K24+KSU!K24+Indiana!K24+Iowa!K24+Washington!K24+MSU!K24+Michigan!K24+Wisconsin!K24+Maryland!K24+Rutgers!K24+Illinois!K24+USC!K24+UCLA!K24+Purdue!K24</f>
        <v>5</v>
      </c>
      <c r="L24">
        <f>Louisville!L24+SD!L24+ND!L24+Alabama!L24+UNO!L24+KSU!L24+Indiana!L24+Iowa!L24+Washington!L24+MSU!L24+Michigan!L24+Wisconsin!L24+Maryland!L24+Rutgers!L24+Illinois!L24+USC!L24+UCLA!L24+Purdue!L24</f>
        <v>19</v>
      </c>
      <c r="M24">
        <f>Louisville!M24+SD!M24+ND!M24+Alabama!M24+UNO!M24+KSU!M24+Indiana!M24+Iowa!M24+Washington!M24+MSU!M24+Michigan!M24+Wisconsin!M24+Maryland!M24+Rutgers!M24+Illinois!M24+USC!M24+UCLA!M24+Purdue!M24</f>
        <v>5</v>
      </c>
      <c r="N24">
        <f>Louisville!N24+SD!N24+ND!N24+Alabama!N24+UNO!N24+KSU!N24+Indiana!N24+Iowa!N24+Washington!N24+MSU!N24+Michigan!N24+Wisconsin!N24+Maryland!N24+Rutgers!N24+Illinois!N24+USC!N24+UCLA!N24+Purdue!N24</f>
        <v>136</v>
      </c>
      <c r="O24" s="1">
        <f t="shared" si="0"/>
        <v>0.16037735849056603</v>
      </c>
      <c r="P24">
        <f>Louisville!P24+SD!P24+ND!P24+Alabama!P24+UNO!P24+KSU!P24+Indiana!P24+Iowa!P24+Washington!P24+MSU!P24+Michigan!P24+Wisconsin!P24+Maryland!P24+Rutgers!P24+Illinois!P24+USC!P24+UCLA!P24+Purdue!P24</f>
        <v>43</v>
      </c>
      <c r="Q24">
        <f>Louisville!Q24+SD!Q24+ND!Q24+Alabama!Q24+UNO!Q24+KSU!Q24+Indiana!Q24+Iowa!Q24+Washington!Q24+MSU!Q24+Michigan!Q24+Wisconsin!Q24+Maryland!Q24+Rutgers!Q24+Illinois!Q24+USC!Q24+UCLA!Q24+Purdue!Q24</f>
        <v>59</v>
      </c>
      <c r="R24">
        <f>Louisville!R24+SD!R24+ND!R24+Alabama!R24+UNO!R24+KSU!R24+Indiana!R24+Iowa!R24+Washington!R24+MSU!R24+Michigan!R24+Wisconsin!R24+Maryland!R24+Rutgers!R24+Illinois!R24+USC!R24+UCLA!R24+Purdue!R24</f>
        <v>29</v>
      </c>
      <c r="S24">
        <f>Louisville!S24+SD!S24+ND!S24+Alabama!S24+UNO!S24+KSU!S24+Indiana!S24+Iowa!S24+Washington!S24+MSU!S24+Michigan!S24+Wisconsin!S24+Maryland!S24+Rutgers!S24+Illinois!S24+USC!S24+UCLA!S24+Purdue!S24</f>
        <v>4</v>
      </c>
      <c r="T24">
        <f>Louisville!T24+SD!T24+ND!T24+Alabama!T24+UNO!T24+KSU!T24+Indiana!T24+Iowa!T24+Washington!T24+MSU!T24+Michigan!T24+Wisconsin!T24+Maryland!T24+Rutgers!T24+Illinois!T24+USC!T24+UCLA!T24+Purdue!T24</f>
        <v>9</v>
      </c>
      <c r="U24">
        <f>Louisville!U24+SD!U24+ND!U24+Alabama!U24+UNO!U24+KSU!U24+Indiana!U24+Iowa!U24+Washington!U24+MSU!U24+Michigan!U24+Wisconsin!U24+Maryland!U24+Rutgers!U24+Illinois!U24+USC!U24+UCLA!U24+Purdue!U24</f>
        <v>13</v>
      </c>
      <c r="V24">
        <f>Louisville!V24+SD!V24+ND!V24+Alabama!V24+UNO!V24+KSU!V24+Indiana!V24+Iowa!V24+Washington!V24+MSU!V24+Michigan!V24+Wisconsin!V24+Maryland!V24+Rutgers!V24+Illinois!V24+USC!V24+UCLA!V24+Purdue!V24</f>
        <v>40</v>
      </c>
      <c r="W24">
        <f>Louisville!W24+SD!W24+ND!W24+Alabama!W24+UNO!W24+KSU!W24+Indiana!W24+Iowa!W24+Washington!W24+MSU!W24+Michigan!W24+Wisconsin!W24+Maryland!W24+Rutgers!W24+Illinois!W24+USC!W24+UCLA!W24+Purdue!W24</f>
        <v>48</v>
      </c>
      <c r="X24">
        <f>Louisville!X24+SD!X24+ND!X24+Alabama!X24+UNO!X24+KSU!X24+Indiana!X24+Iowa!X24+Washington!X24+MSU!X24+Michigan!X24+Wisconsin!X24+Maryland!X24+Rutgers!X24+Illinois!X24+USC!X24+UCLA!X24+Purdue!X24</f>
        <v>245</v>
      </c>
      <c r="Y24" s="1">
        <f t="shared" si="1"/>
        <v>0.28891509433962265</v>
      </c>
      <c r="Z24">
        <f>Louisville!Z24+SD!Z24+ND!Z24+Alabama!Z24+UNO!Z24+KSU!Z24+Indiana!Z24+Iowa!Z24+Washington!Z24+MSU!Z24+Michigan!Z24+Wisconsin!Z24+Maryland!Z24+Rutgers!Z24+Illinois!Z24+USC!Z24+UCLA!Z24+Purdue!Z24</f>
        <v>381</v>
      </c>
      <c r="AA24" s="1">
        <f t="shared" si="2"/>
        <v>0.4492924528301887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848&lt;/td&gt;&lt;td&gt;0&lt;/td&gt;&lt;td&gt;1&lt;/td&gt;&lt;td&gt;6&lt;/td&gt;&lt;td&gt;57&lt;/td&gt;&lt;td&gt;8&lt;/td&gt;&lt;td&gt;3&lt;/td&gt;&lt;td&gt;37&lt;/td&gt;&lt;td&gt;3&lt;/td&gt;&lt;td&gt;5&lt;/td&gt;&lt;td&gt;19&lt;/td&gt;&lt;td&gt;5&lt;/td&gt;&lt;td&gt;136&lt;/td&gt;&lt;td&gt;0.16&lt;/td&gt;&lt;td&gt;381&lt;/td&gt;&lt;td&gt;0.45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848&lt;/td&gt;&lt;td&gt;43&lt;/td&gt;&lt;td&gt;59&lt;/td&gt;&lt;td&gt;29&lt;/td&gt;&lt;td&gt;4&lt;/td&gt;&lt;td&gt;9&lt;/td&gt;&lt;td&gt;13&lt;/td&gt;&lt;td&gt;40&lt;/td&gt;&lt;td&gt;48&lt;/td&gt;&lt;td&gt;245&lt;/td&gt;&lt;td&gt;0.29&lt;/td&gt;&lt;td&gt;381&lt;/td&gt;&lt;td&gt;0.45&lt;/td&gt;&lt;/tr&gt;</v>
      </c>
    </row>
    <row r="26" spans="1:46" x14ac:dyDescent="0.3">
      <c r="A26" t="str">
        <f>AC4</f>
        <v>&lt;tr&gt;&lt;td&gt;Makovicka&lt;/td&gt;&lt;td&gt;730&lt;/td&gt;&lt;td&gt;3&lt;/td&gt;&lt;td&gt;0&lt;/td&gt;&lt;td&gt;3&lt;/td&gt;&lt;td&gt;19&lt;/td&gt;&lt;td&gt;5&lt;/td&gt;&lt;td&gt;4&lt;/td&gt;&lt;td&gt;5&lt;/td&gt;&lt;td&gt;53&lt;/td&gt;&lt;td&gt;33&lt;/td&gt;&lt;td&gt;12&lt;/td&gt;&lt;td&gt;10&lt;/td&gt;&lt;td&gt;144&lt;/td&gt;&lt;td&gt;0.20&lt;/td&gt;&lt;td&gt;238&lt;/td&gt;&lt;td&gt;0.33&lt;/td&gt;&lt;/tr&gt;</v>
      </c>
    </row>
    <row r="27" spans="1:46" x14ac:dyDescent="0.3">
      <c r="A27" t="str">
        <f>AC15</f>
        <v>&lt;tr&gt;&lt;td&gt;Williams&lt;/td&gt;&lt;td&gt;976&lt;/td&gt;&lt;td&gt;1&lt;/td&gt;&lt;td&gt;1&lt;/td&gt;&lt;td&gt;3&lt;/td&gt;&lt;td&gt;24&lt;/td&gt;&lt;td&gt;1&lt;/td&gt;&lt;td&gt;5&lt;/td&gt;&lt;td&gt;5&lt;/td&gt;&lt;td&gt;3&lt;/td&gt;&lt;td&gt;5&lt;/td&gt;&lt;td&gt;3&lt;/td&gt;&lt;td&gt;1&lt;/td&gt;&lt;td&gt;52&lt;/td&gt;&lt;td&gt;0.05&lt;/td&gt;&lt;td&gt;299&lt;/td&gt;&lt;td&gt;0.31&lt;/td&gt;&lt;/tr&gt;</v>
      </c>
    </row>
    <row r="28" spans="1:46" x14ac:dyDescent="0.3">
      <c r="A28" t="str">
        <f>AC9</f>
        <v>&lt;tr&gt;&lt;td&gt;Guyott&lt;/td&gt;&lt;td&gt;338&lt;/td&gt;&lt;td&gt;1&lt;/td&gt;&lt;td&gt;1&lt;/td&gt;&lt;td&gt;1&lt;/td&gt;&lt;td&gt;20&lt;/td&gt;&lt;td&gt;0&lt;/td&gt;&lt;td&gt;3&lt;/td&gt;&lt;td&gt;12&lt;/td&gt;&lt;td&gt;3&lt;/td&gt;&lt;td&gt;13&lt;/td&gt;&lt;td&gt;1&lt;/td&gt;&lt;td&gt;2&lt;/td&gt;&lt;td&gt;57&lt;/td&gt;&lt;td&gt;0.17&lt;/td&gt;&lt;td&gt;137&lt;/td&gt;&lt;td&gt;0.41&lt;/td&gt;&lt;/tr&gt;</v>
      </c>
    </row>
    <row r="29" spans="1:46" x14ac:dyDescent="0.3">
      <c r="A29" t="str">
        <f>AC24</f>
        <v>&lt;tr&gt;&lt;td&gt;Sant&lt;/td&gt;&lt;td&gt;848&lt;/td&gt;&lt;td&gt;0&lt;/td&gt;&lt;td&gt;1&lt;/td&gt;&lt;td&gt;6&lt;/td&gt;&lt;td&gt;57&lt;/td&gt;&lt;td&gt;8&lt;/td&gt;&lt;td&gt;3&lt;/td&gt;&lt;td&gt;37&lt;/td&gt;&lt;td&gt;3&lt;/td&gt;&lt;td&gt;5&lt;/td&gt;&lt;td&gt;19&lt;/td&gt;&lt;td&gt;5&lt;/td&gt;&lt;td&gt;136&lt;/td&gt;&lt;td&gt;0.16&lt;/td&gt;&lt;td&gt;381&lt;/td&gt;&lt;td&gt;0.45&lt;/td&gt;&lt;/tr&gt;</v>
      </c>
    </row>
    <row r="30" spans="1:46" x14ac:dyDescent="0.3">
      <c r="A30" t="str">
        <f>AC12</f>
        <v>&lt;tr&gt;&lt;td&gt;Reda&lt;/td&gt;&lt;td&gt;342&lt;/td&gt;&lt;td&gt;0&lt;/td&gt;&lt;td&gt;0&lt;/td&gt;&lt;td&gt;0&lt;/td&gt;&lt;td&gt;22&lt;/td&gt;&lt;td&gt;1&lt;/td&gt;&lt;td&gt;1&lt;/td&gt;&lt;td&gt;10&lt;/td&gt;&lt;td&gt;1&lt;/td&gt;&lt;td&gt;3&lt;/td&gt;&lt;td&gt;1&lt;/td&gt;&lt;td&gt;0&lt;/td&gt;&lt;td&gt;38&lt;/td&gt;&lt;td&gt;0.11&lt;/td&gt;&lt;td&gt;116&lt;/td&gt;&lt;td&gt;0.34&lt;/td&gt;&lt;/tr&gt;</v>
      </c>
    </row>
    <row r="31" spans="1:46" x14ac:dyDescent="0.3">
      <c r="A31" t="str">
        <f>AC22</f>
        <v>&lt;tr&gt;&lt;td&gt;Borer&lt;/td&gt;&lt;td&gt;984&lt;/td&gt;&lt;td&gt;1&lt;/td&gt;&lt;td&gt;1&lt;/td&gt;&lt;td&gt;1&lt;/td&gt;&lt;td&gt;24&lt;/td&gt;&lt;td&gt;1&lt;/td&gt;&lt;td&gt;2&lt;/td&gt;&lt;td&gt;2&lt;/td&gt;&lt;td&gt;11&lt;/td&gt;&lt;td&gt;8&lt;/td&gt;&lt;td&gt;10&lt;/td&gt;&lt;td&gt;4&lt;/td&gt;&lt;td&gt;68&lt;/td&gt;&lt;td&gt;0.07&lt;/td&gt;&lt;td&gt;381&lt;/td&gt;&lt;td&gt;0.39&lt;/td&gt;&lt;/tr&gt;</v>
      </c>
    </row>
    <row r="32" spans="1:46" x14ac:dyDescent="0.3">
      <c r="A32" t="str">
        <f>AC3</f>
        <v>&lt;tr&gt;&lt;td&gt;Geraneo&lt;/td&gt;&lt;td&gt;80&lt;/td&gt;&lt;td&gt;0&lt;/td&gt;&lt;td&gt;0&lt;/td&gt;&lt;td&gt;0&lt;/td&gt;&lt;td&gt;2&lt;/td&gt;&lt;td&gt;1&lt;/td&gt;&lt;td&gt;1&lt;/td&gt;&lt;td&gt;0&lt;/td&gt;&lt;td&gt;2&lt;/td&gt;&lt;td&gt;1&lt;/td&gt;&lt;td&gt;1&lt;/td&gt;&lt;td&gt;1&lt;/td&gt;&lt;td&gt;8&lt;/td&gt;&lt;td&gt;0.10&lt;/td&gt;&lt;td&gt;21&lt;/td&gt;&lt;td&gt;0.26&lt;/td&gt;&lt;/tr&gt;</v>
      </c>
    </row>
    <row r="33" spans="1:1" x14ac:dyDescent="0.3">
      <c r="A33" t="str">
        <f>AC7</f>
        <v>&lt;tr&gt;&lt;td&gt;Donnelly&lt;/td&gt;&lt;td&gt;857&lt;/td&gt;&lt;td&gt;1&lt;/td&gt;&lt;td&gt;0&lt;/td&gt;&lt;td&gt;4&lt;/td&gt;&lt;td&gt;48&lt;/td&gt;&lt;td&gt;0&lt;/td&gt;&lt;td&gt;12&lt;/td&gt;&lt;td&gt;18&lt;/td&gt;&lt;td&gt;4&lt;/td&gt;&lt;td&gt;5&lt;/td&gt;&lt;td&gt;8&lt;/td&gt;&lt;td&gt;2&lt;/td&gt;&lt;td&gt;102&lt;/td&gt;&lt;td&gt;0.12&lt;/td&gt;&lt;td&gt;334&lt;/td&gt;&lt;td&gt;0.39&lt;/td&gt;&lt;/tr&gt;</v>
      </c>
    </row>
    <row r="34" spans="1:1" x14ac:dyDescent="0.3">
      <c r="A34" t="str">
        <f>AC8</f>
        <v>&lt;tr&gt;&lt;td&gt;Drozda&lt;/td&gt;&lt;td&gt;84&lt;/td&gt;&lt;td&gt;0&lt;/td&gt;&lt;td&gt;0&lt;/td&gt;&lt;td&gt;1&lt;/td&gt;&lt;td&gt;3&lt;/td&gt;&lt;td&gt;1&lt;/td&gt;&lt;td&gt;1&lt;/td&gt;&lt;td&gt;2&lt;/td&gt;&lt;td&gt;0&lt;/td&gt;&lt;td&gt;2&lt;/td&gt;&lt;td&gt;2&lt;/td&gt;&lt;td&gt;1&lt;/td&gt;&lt;td&gt;13&lt;/td&gt;&lt;td&gt;0.15&lt;/td&gt;&lt;td&gt;30&lt;/td&gt;&lt;td&gt;0.36&lt;/td&gt;&lt;/tr&gt;</v>
      </c>
    </row>
    <row r="35" spans="1:1" x14ac:dyDescent="0.3">
      <c r="A35" t="str">
        <f>AC23</f>
        <v>&lt;tr&gt;&lt;td&gt;Sato&lt;/td&gt;&lt;td&gt;9&lt;/td&gt;&lt;td&gt;0&lt;/td&gt;&lt;td&gt;1&lt;/td&gt;&lt;td&gt;1&lt;/td&gt;&lt;td&gt;1&lt;/td&gt;&lt;td&gt;0&lt;/td&gt;&lt;td&gt;1&lt;/td&gt;&lt;td&gt;0&lt;/td&gt;&lt;td&gt;0&lt;/td&gt;&lt;td&gt;0&lt;/td&gt;&lt;td&gt;0&lt;/td&gt;&lt;td&gt;0&lt;/td&gt;&lt;td&gt;4&lt;/td&gt;&lt;td&gt;0.44&lt;/td&gt;&lt;td&gt;6&lt;/td&gt;&lt;td&gt;0.67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559&lt;/td&gt;&lt;td&gt;0&lt;/td&gt;&lt;td&gt;1&lt;/td&gt;&lt;td&gt;1&lt;/td&gt;&lt;td&gt;15&lt;/td&gt;&lt;td&gt;2&lt;/td&gt;&lt;td&gt;8&lt;/td&gt;&lt;td&gt;2&lt;/td&gt;&lt;td&gt;1&lt;/td&gt;&lt;td&gt;6&lt;/td&gt;&lt;td&gt;1&lt;/td&gt;&lt;td&gt;1&lt;/td&gt;&lt;td&gt;36&lt;/td&gt;&lt;td&gt;0.06&lt;/td&gt;&lt;td&gt;168&lt;/td&gt;&lt;td&gt;0.30&lt;/td&gt;&lt;/tr&gt;</v>
      </c>
    </row>
    <row r="38" spans="1:1" x14ac:dyDescent="0.3">
      <c r="A38" t="str">
        <f>AC21</f>
        <v>&lt;tr&gt;&lt;td&gt;Snowden&lt;/td&gt;&lt;td&gt;820&lt;/td&gt;&lt;td&gt;1&lt;/td&gt;&lt;td&gt;0&lt;/td&gt;&lt;td&gt;1&lt;/td&gt;&lt;td&gt;35&lt;/td&gt;&lt;td&gt;4&lt;/td&gt;&lt;td&gt;2&lt;/td&gt;&lt;td&gt;13&lt;/td&gt;&lt;td&gt;16&lt;/td&gt;&lt;td&gt;9&lt;/td&gt;&lt;td&gt;5&lt;/td&gt;&lt;td&gt;3&lt;/td&gt;&lt;td&gt;85&lt;/td&gt;&lt;td&gt;0.10&lt;/td&gt;&lt;td&gt;301&lt;/td&gt;&lt;td&gt;0.37&lt;/td&gt;&lt;/tr&gt;</v>
      </c>
    </row>
    <row r="39" spans="1:1" x14ac:dyDescent="0.3">
      <c r="A39" t="str">
        <f>AC11</f>
        <v>&lt;tr&gt;&lt;td&gt;Prososki&lt;/td&gt;&lt;td&gt;38&lt;/td&gt;&lt;td&gt;0&lt;/td&gt;&lt;td&gt;0&lt;/td&gt;&lt;td&gt;0&lt;/td&gt;&lt;td&gt;0&lt;/td&gt;&lt;td&gt;0&lt;/td&gt;&lt;td&gt;0&lt;/td&gt;&lt;td&gt;0&lt;/td&gt;&lt;td&gt;2&lt;/td&gt;&lt;td&gt;0&lt;/td&gt;&lt;td&gt;0&lt;/td&gt;&lt;td&gt;0&lt;/td&gt;&lt;td&gt;2&lt;/td&gt;&lt;td&gt;0.05&lt;/td&gt;&lt;td&gt;9&lt;/td&gt;&lt;td&gt;0.24&lt;/td&gt;&lt;/tr&gt;</v>
      </c>
    </row>
    <row r="40" spans="1:1" x14ac:dyDescent="0.3">
      <c r="A40" t="str">
        <f>AC13</f>
        <v>&lt;tr&gt;&lt;td&gt;Kiser&lt;/td&gt;&lt;td&gt;13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452&lt;/td&gt;&lt;td&gt;1&lt;/td&gt;&lt;td&gt;0&lt;/td&gt;&lt;td&gt;2&lt;/td&gt;&lt;td&gt;15&lt;/td&gt;&lt;td&gt;1&lt;/td&gt;&lt;td&gt;10&lt;/td&gt;&lt;td&gt;10&lt;/td&gt;&lt;td&gt;15&lt;/td&gt;&lt;td&gt;7&lt;/td&gt;&lt;td&gt;5&lt;/td&gt;&lt;td&gt;5&lt;/td&gt;&lt;td&gt;70&lt;/td&gt;&lt;td&gt;0.15&lt;/td&gt;&lt;td&gt;146&lt;/td&gt;&lt;td&gt;0.32&lt;/td&gt;&lt;/tr&gt;</v>
      </c>
    </row>
    <row r="42" spans="1:1" x14ac:dyDescent="0.3">
      <c r="A42" t="str">
        <f>AC10</f>
        <v>&lt;tr&gt;&lt;td&gt;Rudney&lt;/td&gt;&lt;td&gt;751&lt;/td&gt;&lt;td&gt;1&lt;/td&gt;&lt;td&gt;2&lt;/td&gt;&lt;td&gt;6&lt;/td&gt;&lt;td&gt;17&lt;/td&gt;&lt;td&gt;7&lt;/td&gt;&lt;td&gt;5&lt;/td&gt;&lt;td&gt;10&lt;/td&gt;&lt;td&gt;13&lt;/td&gt;&lt;td&gt;14&lt;/td&gt;&lt;td&gt;19&lt;/td&gt;&lt;td&gt;9&lt;/td&gt;&lt;td&gt;96&lt;/td&gt;&lt;td&gt;0.13&lt;/td&gt;&lt;td&gt;175&lt;/td&gt;&lt;td&gt;0.23&lt;/td&gt;&lt;/tr&gt;</v>
      </c>
    </row>
    <row r="43" spans="1:1" x14ac:dyDescent="0.3">
      <c r="A43" t="str">
        <f>AC2</f>
        <v>&lt;tr&gt;&lt;td&gt;Jones&lt;/td&gt;&lt;td&gt;82&lt;/td&gt;&lt;td&gt;0&lt;/td&gt;&lt;td&gt;0&lt;/td&gt;&lt;td&gt;0&lt;/td&gt;&lt;td&gt;6&lt;/td&gt;&lt;td&gt;0&lt;/td&gt;&lt;td&gt;0&lt;/td&gt;&lt;td&gt;1&lt;/td&gt;&lt;td&gt;0&lt;/td&gt;&lt;td&gt;0&lt;/td&gt;&lt;td&gt;0&lt;/td&gt;&lt;td&gt;0&lt;/td&gt;&lt;td&gt;7&lt;/td&gt;&lt;td&gt;0.09&lt;/td&gt;&lt;td&gt;36&lt;/td&gt;&lt;td&gt;0.44&lt;/td&gt;&lt;/tr&gt;</v>
      </c>
    </row>
    <row r="44" spans="1:1" x14ac:dyDescent="0.3">
      <c r="A44" t="str">
        <f>AC19</f>
        <v>&lt;tr&gt;&lt;td&gt;Lewis&lt;/td&gt;&lt;td&gt;698&lt;/td&gt;&lt;td&gt;2&lt;/td&gt;&lt;td&gt;0&lt;/td&gt;&lt;td&gt;4&lt;/td&gt;&lt;td&gt;11&lt;/td&gt;&lt;td&gt;0&lt;/td&gt;&lt;td&gt;6&lt;/td&gt;&lt;td&gt;17&lt;/td&gt;&lt;td&gt;10&lt;/td&gt;&lt;td&gt;9&lt;/td&gt;&lt;td&gt;8&lt;/td&gt;&lt;td&gt;12&lt;/td&gt;&lt;td&gt;81&lt;/td&gt;&lt;td&gt;0.12&lt;/td&gt;&lt;td&gt;134&lt;/td&gt;&lt;td&gt;0.19&lt;/td&gt;&lt;/tr&gt;</v>
      </c>
    </row>
    <row r="45" spans="1:1" x14ac:dyDescent="0.3">
      <c r="A45" t="str">
        <f>AC17</f>
        <v>&lt;tr&gt;&lt;td&gt;Carpenter&lt;/td&gt;&lt;td&gt;731&lt;/td&gt;&lt;td&gt;0&lt;/td&gt;&lt;td&gt;0&lt;/td&gt;&lt;td&gt;2&lt;/td&gt;&lt;td&gt;30&lt;/td&gt;&lt;td&gt;2&lt;/td&gt;&lt;td&gt;9&lt;/td&gt;&lt;td&gt;8&lt;/td&gt;&lt;td&gt;15&lt;/td&gt;&lt;td&gt;11&lt;/td&gt;&lt;td&gt;9&lt;/td&gt;&lt;td&gt;4&lt;/td&gt;&lt;td&gt;88&lt;/td&gt;&lt;td&gt;0.12&lt;/td&gt;&lt;td&gt;209&lt;/td&gt;&lt;td&gt;0.29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442&lt;/td&gt;&lt;td&gt;0&lt;/td&gt;&lt;td&gt;0&lt;/td&gt;&lt;td&gt;2&lt;/td&gt;&lt;td&gt;15&lt;/td&gt;&lt;td&gt;0&lt;/td&gt;&lt;td&gt;1&lt;/td&gt;&lt;td&gt;13&lt;/td&gt;&lt;td&gt;19&lt;/td&gt;&lt;td&gt;20&lt;/td&gt;&lt;td&gt;4&lt;/td&gt;&lt;td&gt;2&lt;/td&gt;&lt;td&gt;76&lt;/td&gt;&lt;td&gt;0.17&lt;/td&gt;&lt;td&gt;124&lt;/td&gt;&lt;td&gt;0.28&lt;/td&gt;&lt;/tr&gt;</v>
      </c>
    </row>
    <row r="48" spans="1:1" x14ac:dyDescent="0.3">
      <c r="A48" t="str">
        <f>AC6</f>
        <v>&lt;tr&gt;&lt;td&gt;Wistrom&lt;/td&gt;&lt;td&gt;77&lt;/td&gt;&lt;td&gt;0&lt;/td&gt;&lt;td&gt;0&lt;/td&gt;&lt;td&gt;0&lt;/td&gt;&lt;td&gt;0&lt;/td&gt;&lt;td&gt;0&lt;/td&gt;&lt;td&gt;2&lt;/td&gt;&lt;td&gt;2&lt;/td&gt;&lt;td&gt;1&lt;/td&gt;&lt;td&gt;1&lt;/td&gt;&lt;td&gt;0&lt;/td&gt;&lt;td&gt;0&lt;/td&gt;&lt;td&gt;6&lt;/td&gt;&lt;td&gt;0.08&lt;/td&gt;&lt;td&gt;21&lt;/td&gt;&lt;td&gt;0.27&lt;/td&gt;&lt;/tr&gt;</v>
      </c>
    </row>
    <row r="50" spans="1:1" x14ac:dyDescent="0.3">
      <c r="A50" t="str">
        <f>AT4</f>
        <v>&lt;tr&gt;&lt;td&gt;Makovicka&lt;/td&gt;&lt;td&gt;730&lt;/td&gt;&lt;td&gt;9&lt;/td&gt;&lt;td&gt;17&lt;/td&gt;&lt;td&gt;9&lt;/td&gt;&lt;td&gt;1&lt;/td&gt;&lt;td&gt;2&lt;/td&gt;&lt;td&gt;5&lt;/td&gt;&lt;td&gt;23&lt;/td&gt;&lt;td&gt;28&lt;/td&gt;&lt;td&gt;94&lt;/td&gt;&lt;td&gt;0.13&lt;/td&gt;&lt;td&gt;238&lt;/td&gt;&lt;td&gt;0.33&lt;/td&gt;&lt;/tr&gt;</v>
      </c>
    </row>
    <row r="51" spans="1:1" x14ac:dyDescent="0.3">
      <c r="A51" t="str">
        <f>AT15</f>
        <v>&lt;tr&gt;&lt;td&gt;Williams&lt;/td&gt;&lt;td&gt;976&lt;/td&gt;&lt;td&gt;17&lt;/td&gt;&lt;td&gt;58&lt;/td&gt;&lt;td&gt;16&lt;/td&gt;&lt;td&gt;15&lt;/td&gt;&lt;td&gt;22&lt;/td&gt;&lt;td&gt;5&lt;/td&gt;&lt;td&gt;56&lt;/td&gt;&lt;td&gt;52&lt;/td&gt;&lt;td&gt;247&lt;/td&gt;&lt;td&gt;0.25&lt;/td&gt;&lt;td&gt;299&lt;/td&gt;&lt;td&gt;0.31&lt;/td&gt;&lt;/tr&gt;</v>
      </c>
    </row>
    <row r="52" spans="1:1" x14ac:dyDescent="0.3">
      <c r="A52" t="str">
        <f>AT9</f>
        <v>&lt;tr&gt;&lt;td&gt;Guyott&lt;/td&gt;&lt;td&gt;338&lt;/td&gt;&lt;td&gt;4&lt;/td&gt;&lt;td&gt;21&lt;/td&gt;&lt;td&gt;10&lt;/td&gt;&lt;td&gt;0&lt;/td&gt;&lt;td&gt;4&lt;/td&gt;&lt;td&gt;5&lt;/td&gt;&lt;td&gt;19&lt;/td&gt;&lt;td&gt;17&lt;/td&gt;&lt;td&gt;80&lt;/td&gt;&lt;td&gt;0.24&lt;/td&gt;&lt;td&gt;137&lt;/td&gt;&lt;td&gt;0.41&lt;/td&gt;&lt;/tr&gt;</v>
      </c>
    </row>
    <row r="53" spans="1:1" x14ac:dyDescent="0.3">
      <c r="A53" t="str">
        <f>AT24</f>
        <v>&lt;tr&gt;&lt;td&gt;Sant&lt;/td&gt;&lt;td&gt;848&lt;/td&gt;&lt;td&gt;43&lt;/td&gt;&lt;td&gt;59&lt;/td&gt;&lt;td&gt;29&lt;/td&gt;&lt;td&gt;4&lt;/td&gt;&lt;td&gt;9&lt;/td&gt;&lt;td&gt;13&lt;/td&gt;&lt;td&gt;40&lt;/td&gt;&lt;td&gt;48&lt;/td&gt;&lt;td&gt;245&lt;/td&gt;&lt;td&gt;0.29&lt;/td&gt;&lt;td&gt;381&lt;/td&gt;&lt;td&gt;0.45&lt;/td&gt;&lt;/tr&gt;</v>
      </c>
    </row>
    <row r="54" spans="1:1" x14ac:dyDescent="0.3">
      <c r="A54" t="str">
        <f>AT12</f>
        <v>&lt;tr&gt;&lt;td&gt;Reda&lt;/td&gt;&lt;td&gt;342&lt;/td&gt;&lt;td&gt;24&lt;/td&gt;&lt;td&gt;14&lt;/td&gt;&lt;td&gt;11&lt;/td&gt;&lt;td&gt;1&lt;/td&gt;&lt;td&gt;0&lt;/td&gt;&lt;td&gt;6&lt;/td&gt;&lt;td&gt;4&lt;/td&gt;&lt;td&gt;18&lt;/td&gt;&lt;td&gt;78&lt;/td&gt;&lt;td&gt;0.23&lt;/td&gt;&lt;td&gt;116&lt;/td&gt;&lt;td&gt;0.34&lt;/td&gt;&lt;/tr&gt;</v>
      </c>
    </row>
    <row r="55" spans="1:1" x14ac:dyDescent="0.3">
      <c r="A55" t="str">
        <f>AT22</f>
        <v>&lt;tr&gt;&lt;td&gt;Borer&lt;/td&gt;&lt;td&gt;984&lt;/td&gt;&lt;td&gt;33&lt;/td&gt;&lt;td&gt;53&lt;/td&gt;&lt;td&gt;19&lt;/td&gt;&lt;td&gt;12&lt;/td&gt;&lt;td&gt;33&lt;/td&gt;&lt;td&gt;6&lt;/td&gt;&lt;td&gt;125&lt;/td&gt;&lt;td&gt;32&lt;/td&gt;&lt;td&gt;313&lt;/td&gt;&lt;td&gt;0.32&lt;/td&gt;&lt;td&gt;381&lt;/td&gt;&lt;td&gt;0.39&lt;/td&gt;&lt;/tr&gt;</v>
      </c>
    </row>
    <row r="56" spans="1:1" x14ac:dyDescent="0.3">
      <c r="A56" t="str">
        <f>AT3</f>
        <v>&lt;tr&gt;&lt;td&gt;Geraneo&lt;/td&gt;&lt;td&gt;80&lt;/td&gt;&lt;td&gt;3&lt;/td&gt;&lt;td&gt;3&lt;/td&gt;&lt;td&gt;1&lt;/td&gt;&lt;td&gt;0&lt;/td&gt;&lt;td&gt;0&lt;/td&gt;&lt;td&gt;2&lt;/td&gt;&lt;td&gt;0&lt;/td&gt;&lt;td&gt;4&lt;/td&gt;&lt;td&gt;13&lt;/td&gt;&lt;td&gt;0.16&lt;/td&gt;&lt;td&gt;21&lt;/td&gt;&lt;td&gt;0.26&lt;/td&gt;&lt;/tr&gt;</v>
      </c>
    </row>
    <row r="57" spans="1:1" x14ac:dyDescent="0.3">
      <c r="A57" t="str">
        <f>AT7</f>
        <v>&lt;tr&gt;&lt;td&gt;Donnelly&lt;/td&gt;&lt;td&gt;857&lt;/td&gt;&lt;td&gt;30&lt;/td&gt;&lt;td&gt;46&lt;/td&gt;&lt;td&gt;25&lt;/td&gt;&lt;td&gt;17&lt;/td&gt;&lt;td&gt;12&lt;/td&gt;&lt;td&gt;5&lt;/td&gt;&lt;td&gt;56&lt;/td&gt;&lt;td&gt;41&lt;/td&gt;&lt;td&gt;232&lt;/td&gt;&lt;td&gt;0.27&lt;/td&gt;&lt;td&gt;334&lt;/td&gt;&lt;td&gt;0.39&lt;/td&gt;&lt;/tr&gt;</v>
      </c>
    </row>
    <row r="58" spans="1:1" x14ac:dyDescent="0.3">
      <c r="A58" t="str">
        <f>AT8</f>
        <v>&lt;tr&gt;&lt;td&gt;Drozda&lt;/td&gt;&lt;td&gt;84&lt;/td&gt;&lt;td&gt;3&lt;/td&gt;&lt;td&gt;2&lt;/td&gt;&lt;td&gt;3&lt;/td&gt;&lt;td&gt;1&lt;/td&gt;&lt;td&gt;0&lt;/td&gt;&lt;td&gt;0&lt;/td&gt;&lt;td&gt;2&lt;/td&gt;&lt;td&gt;6&lt;/td&gt;&lt;td&gt;17&lt;/td&gt;&lt;td&gt;0.20&lt;/td&gt;&lt;td&gt;30&lt;/td&gt;&lt;td&gt;0.36&lt;/td&gt;&lt;/tr&gt;</v>
      </c>
    </row>
    <row r="59" spans="1:1" x14ac:dyDescent="0.3">
      <c r="A59" t="str">
        <f>AT23</f>
        <v>&lt;tr&gt;&lt;td&gt;Sato&lt;/td&gt;&lt;td&gt;9&lt;/td&gt;&lt;td&gt;0&lt;/td&gt;&lt;td&gt;1&lt;/td&gt;&lt;td&gt;1&lt;/td&gt;&lt;td&gt;0&lt;/td&gt;&lt;td&gt;0&lt;/td&gt;&lt;td&gt;0&lt;/td&gt;&lt;td&gt;0&lt;/td&gt;&lt;td&gt;0&lt;/td&gt;&lt;td&gt;2&lt;/td&gt;&lt;td&gt;0.22&lt;/td&gt;&lt;td&gt;6&lt;/td&gt;&lt;td&gt;0.67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559&lt;/td&gt;&lt;td&gt;4&lt;/td&gt;&lt;td&gt;33&lt;/td&gt;&lt;td&gt;16&lt;/td&gt;&lt;td&gt;7&lt;/td&gt;&lt;td&gt;19&lt;/td&gt;&lt;td&gt;9&lt;/td&gt;&lt;td&gt;23&lt;/td&gt;&lt;td&gt;28&lt;/td&gt;&lt;td&gt;132&lt;/td&gt;&lt;td&gt;0.24&lt;/td&gt;&lt;td&gt;168&lt;/td&gt;&lt;td&gt;0.30&lt;/td&gt;&lt;/tr&gt;</v>
      </c>
    </row>
    <row r="62" spans="1:1" x14ac:dyDescent="0.3">
      <c r="A62" t="str">
        <f>AT21</f>
        <v>&lt;tr&gt;&lt;td&gt;Snowden&lt;/td&gt;&lt;td&gt;820&lt;/td&gt;&lt;td&gt;34&lt;/td&gt;&lt;td&gt;45&lt;/td&gt;&lt;td&gt;16&lt;/td&gt;&lt;td&gt;3&lt;/td&gt;&lt;td&gt;8&lt;/td&gt;&lt;td&gt;7&lt;/td&gt;&lt;td&gt;50&lt;/td&gt;&lt;td&gt;53&lt;/td&gt;&lt;td&gt;216&lt;/td&gt;&lt;td&gt;0.26&lt;/td&gt;&lt;td&gt;301&lt;/td&gt;&lt;td&gt;0.37&lt;/td&gt;&lt;/tr&gt;</v>
      </c>
    </row>
    <row r="63" spans="1:1" x14ac:dyDescent="0.3">
      <c r="A63" t="str">
        <f>AT11</f>
        <v>&lt;tr&gt;&lt;td&gt;Prososki&lt;/td&gt;&lt;td&gt;38&lt;/td&gt;&lt;td&gt;1&lt;/td&gt;&lt;td&gt;0&lt;/td&gt;&lt;td&gt;0&lt;/td&gt;&lt;td&gt;0&lt;/td&gt;&lt;td&gt;1&lt;/td&gt;&lt;td&gt;0&lt;/td&gt;&lt;td&gt;1&lt;/td&gt;&lt;td&gt;4&lt;/td&gt;&lt;td&gt;7&lt;/td&gt;&lt;td&gt;0.18&lt;/td&gt;&lt;td&gt;9&lt;/td&gt;&lt;td&gt;0.24&lt;/td&gt;&lt;/tr&gt;</v>
      </c>
    </row>
    <row r="64" spans="1:1" x14ac:dyDescent="0.3">
      <c r="A64" t="str">
        <f>AT13</f>
        <v>&lt;tr&gt;&lt;td&gt;Kiser&lt;/td&gt;&lt;td&gt;13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1" x14ac:dyDescent="0.3">
      <c r="A65" t="str">
        <f>AT5</f>
        <v>&lt;tr&gt;&lt;td&gt;Bohonek&lt;/td&gt;&lt;td&gt;452&lt;/td&gt;&lt;td&gt;5&lt;/td&gt;&lt;td&gt;12&lt;/td&gt;&lt;td&gt;7&lt;/td&gt;&lt;td&gt;3&lt;/td&gt;&lt;td&gt;6&lt;/td&gt;&lt;td&gt;9&lt;/td&gt;&lt;td&gt;5&lt;/td&gt;&lt;td&gt;29&lt;/td&gt;&lt;td&gt;76&lt;/td&gt;&lt;td&gt;0.17&lt;/td&gt;&lt;td&gt;146&lt;/td&gt;&lt;td&gt;0.32&lt;/td&gt;&lt;/tr&gt;</v>
      </c>
    </row>
    <row r="66" spans="1:1" x14ac:dyDescent="0.3">
      <c r="A66" t="str">
        <f>AT10</f>
        <v>&lt;tr&gt;&lt;td&gt;Rudney&lt;/td&gt;&lt;td&gt;751&lt;/td&gt;&lt;td&gt;15&lt;/td&gt;&lt;td&gt;13&lt;/td&gt;&lt;td&gt;18&lt;/td&gt;&lt;td&gt;1&lt;/td&gt;&lt;td&gt;6&lt;/td&gt;&lt;td&gt;4&lt;/td&gt;&lt;td&gt;2&lt;/td&gt;&lt;td&gt;20&lt;/td&gt;&lt;td&gt;79&lt;/td&gt;&lt;td&gt;0.11&lt;/td&gt;&lt;td&gt;175&lt;/td&gt;&lt;td&gt;0.23&lt;/td&gt;&lt;/tr&gt;</v>
      </c>
    </row>
    <row r="67" spans="1:1" x14ac:dyDescent="0.3">
      <c r="A67" t="str">
        <f>AT2</f>
        <v>&lt;tr&gt;&lt;td&gt;Jones&lt;/td&gt;&lt;td&gt;82&lt;/td&gt;&lt;td&gt;7&lt;/td&gt;&lt;td&gt;6&lt;/td&gt;&lt;td&gt;3&lt;/td&gt;&lt;td&gt;0&lt;/td&gt;&lt;td&gt;0&lt;/td&gt;&lt;td&gt;0&lt;/td&gt;&lt;td&gt;2&lt;/td&gt;&lt;td&gt;11&lt;/td&gt;&lt;td&gt;29&lt;/td&gt;&lt;td&gt;0.35&lt;/td&gt;&lt;td&gt;36&lt;/td&gt;&lt;td&gt;0.44&lt;/td&gt;&lt;/tr&gt;</v>
      </c>
    </row>
    <row r="68" spans="1:1" x14ac:dyDescent="0.3">
      <c r="A68" t="str">
        <f>AT19</f>
        <v>&lt;tr&gt;&lt;td&gt;Lewis&lt;/td&gt;&lt;td&gt;698&lt;/td&gt;&lt;td&gt;14&lt;/td&gt;&lt;td&gt;9&lt;/td&gt;&lt;td&gt;6&lt;/td&gt;&lt;td&gt;0&lt;/td&gt;&lt;td&gt;2&lt;/td&gt;&lt;td&gt;1&lt;/td&gt;&lt;td&gt;0&lt;/td&gt;&lt;td&gt;21&lt;/td&gt;&lt;td&gt;53&lt;/td&gt;&lt;td&gt;0.08&lt;/td&gt;&lt;td&gt;134&lt;/td&gt;&lt;td&gt;0.19&lt;/td&gt;&lt;/tr&gt;</v>
      </c>
    </row>
    <row r="69" spans="1:1" x14ac:dyDescent="0.3">
      <c r="A69" t="str">
        <f>AT17</f>
        <v>&lt;tr&gt;&lt;td&gt;Carpenter&lt;/td&gt;&lt;td&gt;731&lt;/td&gt;&lt;td&gt;17&lt;/td&gt;&lt;td&gt;21&lt;/td&gt;&lt;td&gt;15&lt;/td&gt;&lt;td&gt;7&lt;/td&gt;&lt;td&gt;9&lt;/td&gt;&lt;td&gt;5&lt;/td&gt;&lt;td&gt;16&lt;/td&gt;&lt;td&gt;32&lt;/td&gt;&lt;td&gt;121&lt;/td&gt;&lt;td&gt;0.17&lt;/td&gt;&lt;td&gt;209&lt;/td&gt;&lt;td&gt;0.29&lt;/td&gt;&lt;/tr&gt;</v>
      </c>
    </row>
    <row r="70" spans="1:1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1" x14ac:dyDescent="0.3">
      <c r="A71" t="str">
        <f>AT16</f>
        <v>&lt;tr&gt;&lt;td&gt;Eggett&lt;/td&gt;&lt;td&gt;442&lt;/td&gt;&lt;td&gt;14&lt;/td&gt;&lt;td&gt;12&lt;/td&gt;&lt;td&gt;5&lt;/td&gt;&lt;td&gt;0&lt;/td&gt;&lt;td&gt;1&lt;/td&gt;&lt;td&gt;3&lt;/td&gt;&lt;td&gt;0&lt;/td&gt;&lt;td&gt;13&lt;/td&gt;&lt;td&gt;48&lt;/td&gt;&lt;td&gt;0.11&lt;/td&gt;&lt;td&gt;124&lt;/td&gt;&lt;td&gt;0.28&lt;/td&gt;&lt;/tr&gt;</v>
      </c>
    </row>
    <row r="72" spans="1:1" x14ac:dyDescent="0.3">
      <c r="A72" t="str">
        <f>AT6</f>
        <v>&lt;tr&gt;&lt;td&gt;Wistrom&lt;/td&gt;&lt;td&gt;77&lt;/td&gt;&lt;td&gt;0&lt;/td&gt;&lt;td&gt;3&lt;/td&gt;&lt;td&gt;1&lt;/td&gt;&lt;td&gt;0&lt;/td&gt;&lt;td&gt;0&lt;/td&gt;&lt;td&gt;2&lt;/td&gt;&lt;td&gt;1&lt;/td&gt;&lt;td&gt;8&lt;/td&gt;&lt;td&gt;15&lt;/td&gt;&lt;td&gt;0.19&lt;/td&gt;&lt;td&gt;21&lt;/td&gt;&lt;td&gt;0.27&lt;/td&gt;&lt;/tr&gt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E9F0-730D-4C02-8D5E-4CF7FAD98B5A}">
  <dimension ref="A1:AT157"/>
  <sheetViews>
    <sheetView topLeftCell="A86" workbookViewId="0">
      <selection activeCell="A107" sqref="A107:XFD157"/>
    </sheetView>
  </sheetViews>
  <sheetFormatPr defaultRowHeight="14.4" x14ac:dyDescent="0.3"/>
  <cols>
    <col min="1" max="1" width="9.44140625" bestFit="1" customWidth="1"/>
    <col min="28" max="28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 s="1">
        <f>IFERROR(X2/B2,0)</f>
        <v>0.2857142857142857</v>
      </c>
      <c r="Z2">
        <v>2</v>
      </c>
      <c r="AA2" s="1">
        <f>IFERROR(Z2/B2,0)</f>
        <v>0.2857142857142857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0.29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7&lt;/td&gt;&lt;td&gt;1&lt;/td&gt;&lt;td&gt;0&lt;/td&gt;&lt;td&gt;0&lt;/td&gt;&lt;td&gt;0&lt;/td&gt;&lt;td&gt;0&lt;/td&gt;&lt;td&gt;0&lt;/td&gt;&lt;td&gt;0&lt;/td&gt;&lt;td&gt;1&lt;/td&gt;&lt;td&gt;2&lt;/td&gt;&lt;td&gt;0.29&lt;/td&gt;&lt;td&gt;2&lt;/td&gt;&lt;td&gt;0.29&lt;/td&gt;&lt;/tr&gt;</v>
      </c>
    </row>
    <row r="3" spans="1:46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f t="shared" ref="Y3:Y24" si="1">IFERROR(X3/B3,0)</f>
        <v>0</v>
      </c>
      <c r="Z3"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" spans="1:46" x14ac:dyDescent="0.3">
      <c r="A4" t="s">
        <v>27</v>
      </c>
      <c r="B4">
        <v>84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6</v>
      </c>
      <c r="K4">
        <v>2</v>
      </c>
      <c r="L4">
        <v>0</v>
      </c>
      <c r="M4">
        <v>0</v>
      </c>
      <c r="N4">
        <v>14</v>
      </c>
      <c r="O4" s="1">
        <f t="shared" si="0"/>
        <v>0.16666666666666666</v>
      </c>
      <c r="P4">
        <v>2</v>
      </c>
      <c r="Q4">
        <v>1</v>
      </c>
      <c r="R4">
        <v>0</v>
      </c>
      <c r="S4">
        <v>1</v>
      </c>
      <c r="T4">
        <v>2</v>
      </c>
      <c r="U4">
        <v>0</v>
      </c>
      <c r="V4">
        <v>2</v>
      </c>
      <c r="W4">
        <v>6</v>
      </c>
      <c r="X4">
        <v>14</v>
      </c>
      <c r="Y4" s="1">
        <f t="shared" si="1"/>
        <v>0.16666666666666666</v>
      </c>
      <c r="Z4">
        <v>28</v>
      </c>
      <c r="AA4" s="1">
        <f t="shared" si="2"/>
        <v>0.33333333333333331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84&lt;/td&gt;&lt;td&gt;1&lt;/td&gt;&lt;td&gt;0&lt;/td&gt;&lt;td&gt;1&lt;/td&gt;&lt;td&gt;1&lt;/td&gt;&lt;td&gt;0&lt;/td&gt;&lt;td&gt;1&lt;/td&gt;&lt;td&gt;0&lt;/td&gt;&lt;td&gt;6&lt;/td&gt;&lt;td&gt;2&lt;/td&gt;&lt;td&gt;0&lt;/td&gt;&lt;td&gt;0&lt;/td&gt;&lt;td&gt;14&lt;/td&gt;&lt;td&gt;0.17&lt;/td&gt;&lt;td&gt;28&lt;/td&gt;&lt;td&gt;0.33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84&lt;/td&gt;&lt;td&gt;2&lt;/td&gt;&lt;td&gt;1&lt;/td&gt;&lt;td&gt;0&lt;/td&gt;&lt;td&gt;1&lt;/td&gt;&lt;td&gt;2&lt;/td&gt;&lt;td&gt;0&lt;/td&gt;&lt;td&gt;2&lt;/td&gt;&lt;td&gt;6&lt;/td&gt;&lt;td&gt;14&lt;/td&gt;&lt;td&gt;0.17&lt;/td&gt;&lt;td&gt;28&lt;/td&gt;&lt;td&gt;0.33&lt;/td&gt;&lt;/tr&gt;</v>
      </c>
    </row>
    <row r="5" spans="1:46" x14ac:dyDescent="0.3">
      <c r="A5" t="s">
        <v>28</v>
      </c>
      <c r="B5">
        <v>28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3</v>
      </c>
      <c r="O5" s="1">
        <f t="shared" si="0"/>
        <v>0.10714285714285714</v>
      </c>
      <c r="P5">
        <v>1</v>
      </c>
      <c r="Q5">
        <v>0</v>
      </c>
      <c r="R5">
        <v>0</v>
      </c>
      <c r="S5">
        <v>0</v>
      </c>
      <c r="T5">
        <v>1</v>
      </c>
      <c r="U5">
        <v>3</v>
      </c>
      <c r="V5">
        <v>0</v>
      </c>
      <c r="W5">
        <v>3</v>
      </c>
      <c r="X5">
        <v>8</v>
      </c>
      <c r="Y5" s="1">
        <f t="shared" si="1"/>
        <v>0.2857142857142857</v>
      </c>
      <c r="Z5">
        <v>11</v>
      </c>
      <c r="AA5" s="1">
        <f t="shared" si="2"/>
        <v>0.39285714285714285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28&lt;/td&gt;&lt;td&gt;0&lt;/td&gt;&lt;td&gt;0&lt;/td&gt;&lt;td&gt;1&lt;/td&gt;&lt;td&gt;0&lt;/td&gt;&lt;td&gt;0&lt;/td&gt;&lt;td&gt;0&lt;/td&gt;&lt;td&gt;0&lt;/td&gt;&lt;td&gt;1&lt;/td&gt;&lt;td&gt;1&lt;/td&gt;&lt;td&gt;0&lt;/td&gt;&lt;td&gt;0&lt;/td&gt;&lt;td&gt;3&lt;/td&gt;&lt;td&gt;0.11&lt;/td&gt;&lt;td&gt;11&lt;/td&gt;&lt;td&gt;0.39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28&lt;/td&gt;&lt;td&gt;1&lt;/td&gt;&lt;td&gt;0&lt;/td&gt;&lt;td&gt;0&lt;/td&gt;&lt;td&gt;0&lt;/td&gt;&lt;td&gt;1&lt;/td&gt;&lt;td&gt;3&lt;/td&gt;&lt;td&gt;0&lt;/td&gt;&lt;td&gt;3&lt;/td&gt;&lt;td&gt;8&lt;/td&gt;&lt;td&gt;0.29&lt;/td&gt;&lt;td&gt;11&lt;/td&gt;&lt;td&gt;0.39&lt;/td&gt;&lt;/tr&gt;</v>
      </c>
    </row>
    <row r="6" spans="1:46" x14ac:dyDescent="0.3">
      <c r="A6" t="s">
        <v>29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</v>
      </c>
      <c r="Y6" s="1">
        <f t="shared" si="1"/>
        <v>1</v>
      </c>
      <c r="Z6">
        <v>2</v>
      </c>
      <c r="AA6" s="1">
        <f t="shared" si="2"/>
        <v>1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1.00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2&lt;/td&gt;&lt;td&gt;0&lt;/td&gt;&lt;td&gt;1&lt;/td&gt;&lt;td&gt;0&lt;/td&gt;&lt;td&gt;0&lt;/td&gt;&lt;td&gt;0&lt;/td&gt;&lt;td&gt;0&lt;/td&gt;&lt;td&gt;0&lt;/td&gt;&lt;td&gt;1&lt;/td&gt;&lt;td&gt;2&lt;/td&gt;&lt;td&gt;1.00&lt;/td&gt;&lt;td&gt;2&lt;/td&gt;&lt;td&gt;1.00&lt;/td&gt;&lt;/tr&gt;</v>
      </c>
    </row>
    <row r="7" spans="1:46" x14ac:dyDescent="0.3">
      <c r="A7" t="s">
        <v>30</v>
      </c>
      <c r="B7">
        <v>90</v>
      </c>
      <c r="C7">
        <v>0</v>
      </c>
      <c r="D7">
        <v>0</v>
      </c>
      <c r="E7">
        <v>2</v>
      </c>
      <c r="F7">
        <v>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8</v>
      </c>
      <c r="O7" s="1">
        <f t="shared" si="0"/>
        <v>8.8888888888888892E-2</v>
      </c>
      <c r="P7">
        <v>1</v>
      </c>
      <c r="Q7">
        <v>5</v>
      </c>
      <c r="R7">
        <v>2</v>
      </c>
      <c r="S7">
        <v>2</v>
      </c>
      <c r="T7">
        <v>2</v>
      </c>
      <c r="U7">
        <v>0</v>
      </c>
      <c r="V7">
        <v>8</v>
      </c>
      <c r="W7">
        <v>3</v>
      </c>
      <c r="X7">
        <v>23</v>
      </c>
      <c r="Y7" s="1">
        <f t="shared" si="1"/>
        <v>0.25555555555555554</v>
      </c>
      <c r="Z7">
        <v>31</v>
      </c>
      <c r="AA7" s="1">
        <f t="shared" si="2"/>
        <v>0.34444444444444444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90&lt;/td&gt;&lt;td&gt;0&lt;/td&gt;&lt;td&gt;0&lt;/td&gt;&lt;td&gt;2&lt;/td&gt;&lt;td&gt;5&lt;/td&gt;&lt;td&gt;0&lt;/td&gt;&lt;td&gt;1&lt;/td&gt;&lt;td&gt;0&lt;/td&gt;&lt;td&gt;0&lt;/td&gt;&lt;td&gt;0&lt;/td&gt;&lt;td&gt;0&lt;/td&gt;&lt;td&gt;0&lt;/td&gt;&lt;td&gt;8&lt;/td&gt;&lt;td&gt;0.09&lt;/td&gt;&lt;td&gt;31&lt;/td&gt;&lt;td&gt;0.34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90&lt;/td&gt;&lt;td&gt;1&lt;/td&gt;&lt;td&gt;5&lt;/td&gt;&lt;td&gt;2&lt;/td&gt;&lt;td&gt;2&lt;/td&gt;&lt;td&gt;2&lt;/td&gt;&lt;td&gt;0&lt;/td&gt;&lt;td&gt;8&lt;/td&gt;&lt;td&gt;3&lt;/td&gt;&lt;td&gt;23&lt;/td&gt;&lt;td&gt;0.26&lt;/td&gt;&lt;td&gt;31&lt;/td&gt;&lt;td&gt;0.34&lt;/td&gt;&lt;/tr&gt;</v>
      </c>
    </row>
    <row r="8" spans="1:46" x14ac:dyDescent="0.3">
      <c r="A8" t="s">
        <v>31</v>
      </c>
      <c r="B8">
        <v>28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4</v>
      </c>
      <c r="O8" s="1">
        <f t="shared" si="0"/>
        <v>0.14285714285714285</v>
      </c>
      <c r="P8">
        <v>2</v>
      </c>
      <c r="Q8">
        <v>1</v>
      </c>
      <c r="R8">
        <v>1</v>
      </c>
      <c r="S8">
        <v>1</v>
      </c>
      <c r="T8">
        <v>0</v>
      </c>
      <c r="U8">
        <v>0</v>
      </c>
      <c r="V8">
        <v>2</v>
      </c>
      <c r="W8">
        <v>1</v>
      </c>
      <c r="X8">
        <v>8</v>
      </c>
      <c r="Y8" s="1">
        <f t="shared" si="1"/>
        <v>0.2857142857142857</v>
      </c>
      <c r="Z8">
        <v>12</v>
      </c>
      <c r="AA8" s="1">
        <f t="shared" si="2"/>
        <v>0.42857142857142855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28&lt;/td&gt;&lt;td&gt;0&lt;/td&gt;&lt;td&gt;0&lt;/td&gt;&lt;td&gt;1&lt;/td&gt;&lt;td&gt;1&lt;/td&gt;&lt;td&gt;1&lt;/td&gt;&lt;td&gt;0&lt;/td&gt;&lt;td&gt;0&lt;/td&gt;&lt;td&gt;0&lt;/td&gt;&lt;td&gt;0&lt;/td&gt;&lt;td&gt;1&lt;/td&gt;&lt;td&gt;0&lt;/td&gt;&lt;td&gt;4&lt;/td&gt;&lt;td&gt;0.14&lt;/td&gt;&lt;td&gt;12&lt;/td&gt;&lt;td&gt;0.43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28&lt;/td&gt;&lt;td&gt;2&lt;/td&gt;&lt;td&gt;1&lt;/td&gt;&lt;td&gt;1&lt;/td&gt;&lt;td&gt;1&lt;/td&gt;&lt;td&gt;0&lt;/td&gt;&lt;td&gt;0&lt;/td&gt;&lt;td&gt;2&lt;/td&gt;&lt;td&gt;1&lt;/td&gt;&lt;td&gt;8&lt;/td&gt;&lt;td&gt;0.29&lt;/td&gt;&lt;td&gt;12&lt;/td&gt;&lt;td&gt;0.43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88</v>
      </c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2</v>
      </c>
      <c r="J10">
        <v>2</v>
      </c>
      <c r="K10">
        <v>0</v>
      </c>
      <c r="L10">
        <v>0</v>
      </c>
      <c r="M10">
        <v>2</v>
      </c>
      <c r="N10">
        <v>9</v>
      </c>
      <c r="O10" s="1">
        <f t="shared" si="0"/>
        <v>0.10227272727272728</v>
      </c>
      <c r="P10">
        <v>1</v>
      </c>
      <c r="Q10">
        <v>0</v>
      </c>
      <c r="R10">
        <v>1</v>
      </c>
      <c r="S10">
        <v>1</v>
      </c>
      <c r="T10">
        <v>4</v>
      </c>
      <c r="U10">
        <v>0</v>
      </c>
      <c r="V10">
        <v>0</v>
      </c>
      <c r="W10">
        <v>3</v>
      </c>
      <c r="X10">
        <v>10</v>
      </c>
      <c r="Y10" s="1">
        <f t="shared" si="1"/>
        <v>0.11363636363636363</v>
      </c>
      <c r="Z10">
        <v>19</v>
      </c>
      <c r="AA10" s="1">
        <f t="shared" si="2"/>
        <v>0.21590909090909091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88&lt;/td&gt;&lt;td&gt;1&lt;/td&gt;&lt;td&gt;0&lt;/td&gt;&lt;td&gt;0&lt;/td&gt;&lt;td&gt;1&lt;/td&gt;&lt;td&gt;0&lt;/td&gt;&lt;td&gt;1&lt;/td&gt;&lt;td&gt;2&lt;/td&gt;&lt;td&gt;2&lt;/td&gt;&lt;td&gt;0&lt;/td&gt;&lt;td&gt;0&lt;/td&gt;&lt;td&gt;2&lt;/td&gt;&lt;td&gt;9&lt;/td&gt;&lt;td&gt;0.10&lt;/td&gt;&lt;td&gt;19&lt;/td&gt;&lt;td&gt;0.22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88&lt;/td&gt;&lt;td&gt;1&lt;/td&gt;&lt;td&gt;0&lt;/td&gt;&lt;td&gt;1&lt;/td&gt;&lt;td&gt;1&lt;/td&gt;&lt;td&gt;4&lt;/td&gt;&lt;td&gt;0&lt;/td&gt;&lt;td&gt;0&lt;/td&gt;&lt;td&gt;3&lt;/td&gt;&lt;td&gt;10&lt;/td&gt;&lt;td&gt;0.11&lt;/td&gt;&lt;td&gt;19&lt;/td&gt;&lt;td&gt;0.22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f t="shared" si="0"/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f t="shared" si="1"/>
        <v>0</v>
      </c>
      <c r="Z12"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3" spans="1:46" x14ac:dyDescent="0.3">
      <c r="A13" t="s">
        <v>36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27</v>
      </c>
      <c r="C14">
        <v>0</v>
      </c>
      <c r="D14">
        <v>1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</v>
      </c>
      <c r="O14" s="1">
        <f t="shared" si="0"/>
        <v>0.14814814814814814</v>
      </c>
      <c r="P14">
        <v>2</v>
      </c>
      <c r="Q14">
        <v>3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8</v>
      </c>
      <c r="Y14" s="1">
        <f t="shared" si="1"/>
        <v>0.29629629629629628</v>
      </c>
      <c r="Z14">
        <v>12</v>
      </c>
      <c r="AA14" s="1">
        <f t="shared" si="2"/>
        <v>0.44444444444444442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27&lt;/td&gt;&lt;td&gt;0&lt;/td&gt;&lt;td&gt;1&lt;/td&gt;&lt;td&gt;0&lt;/td&gt;&lt;td&gt;3&lt;/td&gt;&lt;td&gt;0&lt;/td&gt;&lt;td&gt;0&lt;/td&gt;&lt;td&gt;0&lt;/td&gt;&lt;td&gt;0&lt;/td&gt;&lt;td&gt;0&lt;/td&gt;&lt;td&gt;0&lt;/td&gt;&lt;td&gt;0&lt;/td&gt;&lt;td&gt;4&lt;/td&gt;&lt;td&gt;0.15&lt;/td&gt;&lt;td&gt;12&lt;/td&gt;&lt;td&gt;0.44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27&lt;/td&gt;&lt;td&gt;2&lt;/td&gt;&lt;td&gt;3&lt;/td&gt;&lt;td&gt;1&lt;/td&gt;&lt;td&gt;0&lt;/td&gt;&lt;td&gt;1&lt;/td&gt;&lt;td&gt;1&lt;/td&gt;&lt;td&gt;0&lt;/td&gt;&lt;td&gt;0&lt;/td&gt;&lt;td&gt;8&lt;/td&gt;&lt;td&gt;0.30&lt;/td&gt;&lt;td&gt;12&lt;/td&gt;&lt;td&gt;0.44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1</v>
      </c>
      <c r="F15">
        <v>2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 s="1">
        <f t="shared" si="0"/>
        <v>4.4444444444444446E-2</v>
      </c>
      <c r="P15">
        <v>3</v>
      </c>
      <c r="Q15">
        <v>4</v>
      </c>
      <c r="R15">
        <v>0</v>
      </c>
      <c r="S15">
        <v>2</v>
      </c>
      <c r="T15">
        <v>3</v>
      </c>
      <c r="U15">
        <v>0</v>
      </c>
      <c r="V15">
        <v>4</v>
      </c>
      <c r="W15">
        <v>4</v>
      </c>
      <c r="X15">
        <v>20</v>
      </c>
      <c r="Y15" s="1">
        <f t="shared" si="1"/>
        <v>0.22222222222222221</v>
      </c>
      <c r="Z15">
        <v>24</v>
      </c>
      <c r="AA15" s="1">
        <f t="shared" si="2"/>
        <v>0.26666666666666666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1&lt;/td&gt;&lt;td&gt;2&lt;/td&gt;&lt;td&gt;1&lt;/td&gt;&lt;td&gt;0&lt;/td&gt;&lt;td&gt;0&lt;/td&gt;&lt;td&gt;0&lt;/td&gt;&lt;td&gt;0&lt;/td&gt;&lt;td&gt;0&lt;/td&gt;&lt;td&gt;0&lt;/td&gt;&lt;td&gt;4&lt;/td&gt;&lt;td&gt;0.04&lt;/td&gt;&lt;td&gt;24&lt;/td&gt;&lt;td&gt;0.27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3&lt;/td&gt;&lt;td&gt;4&lt;/td&gt;&lt;td&gt;0&lt;/td&gt;&lt;td&gt;2&lt;/td&gt;&lt;td&gt;3&lt;/td&gt;&lt;td&gt;0&lt;/td&gt;&lt;td&gt;4&lt;/td&gt;&lt;td&gt;4&lt;/td&gt;&lt;td&gt;20&lt;/td&gt;&lt;td&gt;0.22&lt;/td&gt;&lt;td&gt;24&lt;/td&gt;&lt;td&gt;0.27&lt;/td&gt;&lt;/tr&gt;</v>
      </c>
    </row>
    <row r="16" spans="1:46" x14ac:dyDescent="0.3">
      <c r="A16" t="s">
        <v>39</v>
      </c>
      <c r="B16">
        <v>56</v>
      </c>
      <c r="C16">
        <v>0</v>
      </c>
      <c r="D16">
        <v>0</v>
      </c>
      <c r="E16">
        <v>1</v>
      </c>
      <c r="F16">
        <v>2</v>
      </c>
      <c r="G16">
        <v>0</v>
      </c>
      <c r="H16">
        <v>0</v>
      </c>
      <c r="I16">
        <v>2</v>
      </c>
      <c r="J16">
        <v>1</v>
      </c>
      <c r="K16">
        <v>2</v>
      </c>
      <c r="L16">
        <v>0</v>
      </c>
      <c r="M16">
        <v>0</v>
      </c>
      <c r="N16">
        <v>8</v>
      </c>
      <c r="O16" s="1">
        <f t="shared" si="0"/>
        <v>0.14285714285714285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6</v>
      </c>
      <c r="Y16" s="1">
        <f t="shared" si="1"/>
        <v>0.10714285714285714</v>
      </c>
      <c r="Z16">
        <v>14</v>
      </c>
      <c r="AA16" s="1">
        <f t="shared" si="2"/>
        <v>0.25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56&lt;/td&gt;&lt;td&gt;0&lt;/td&gt;&lt;td&gt;0&lt;/td&gt;&lt;td&gt;1&lt;/td&gt;&lt;td&gt;2&lt;/td&gt;&lt;td&gt;0&lt;/td&gt;&lt;td&gt;0&lt;/td&gt;&lt;td&gt;2&lt;/td&gt;&lt;td&gt;1&lt;/td&gt;&lt;td&gt;2&lt;/td&gt;&lt;td&gt;0&lt;/td&gt;&lt;td&gt;0&lt;/td&gt;&lt;td&gt;8&lt;/td&gt;&lt;td&gt;0.14&lt;/td&gt;&lt;td&gt;14&lt;/td&gt;&lt;td&gt;0.25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56&lt;/td&gt;&lt;td&gt;3&lt;/td&gt;&lt;td&gt;1&lt;/td&gt;&lt;td&gt;0&lt;/td&gt;&lt;td&gt;0&lt;/td&gt;&lt;td&gt;0&lt;/td&gt;&lt;td&gt;0&lt;/td&gt;&lt;td&gt;0&lt;/td&gt;&lt;td&gt;2&lt;/td&gt;&lt;td&gt;6&lt;/td&gt;&lt;td&gt;0.11&lt;/td&gt;&lt;td&gt;14&lt;/td&gt;&lt;td&gt;0.25&lt;/td&gt;&lt;/tr&gt;</v>
      </c>
    </row>
    <row r="17" spans="1:46" x14ac:dyDescent="0.3">
      <c r="A17" t="s">
        <v>40</v>
      </c>
      <c r="B17">
        <v>70</v>
      </c>
      <c r="C17">
        <v>0</v>
      </c>
      <c r="D17">
        <v>0</v>
      </c>
      <c r="E17">
        <v>1</v>
      </c>
      <c r="F17">
        <v>8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10</v>
      </c>
      <c r="O17" s="1">
        <f t="shared" si="0"/>
        <v>0.14285714285714285</v>
      </c>
      <c r="P17">
        <v>4</v>
      </c>
      <c r="Q17">
        <v>9</v>
      </c>
      <c r="R17">
        <v>0</v>
      </c>
      <c r="S17">
        <v>0</v>
      </c>
      <c r="T17">
        <v>3</v>
      </c>
      <c r="U17">
        <v>0</v>
      </c>
      <c r="V17">
        <v>3</v>
      </c>
      <c r="W17">
        <v>4</v>
      </c>
      <c r="X17">
        <v>23</v>
      </c>
      <c r="Y17" s="1">
        <f t="shared" si="1"/>
        <v>0.32857142857142857</v>
      </c>
      <c r="Z17">
        <v>33</v>
      </c>
      <c r="AA17" s="1">
        <f t="shared" si="2"/>
        <v>0.47142857142857142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70&lt;/td&gt;&lt;td&gt;0&lt;/td&gt;&lt;td&gt;0&lt;/td&gt;&lt;td&gt;1&lt;/td&gt;&lt;td&gt;8&lt;/td&gt;&lt;td&gt;0&lt;/td&gt;&lt;td&gt;0&lt;/td&gt;&lt;td&gt;0&lt;/td&gt;&lt;td&gt;1&lt;/td&gt;&lt;td&gt;0&lt;/td&gt;&lt;td&gt;0&lt;/td&gt;&lt;td&gt;0&lt;/td&gt;&lt;td&gt;10&lt;/td&gt;&lt;td&gt;0.14&lt;/td&gt;&lt;td&gt;33&lt;/td&gt;&lt;td&gt;0.47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70&lt;/td&gt;&lt;td&gt;4&lt;/td&gt;&lt;td&gt;9&lt;/td&gt;&lt;td&gt;0&lt;/td&gt;&lt;td&gt;0&lt;/td&gt;&lt;td&gt;3&lt;/td&gt;&lt;td&gt;0&lt;/td&gt;&lt;td&gt;3&lt;/td&gt;&lt;td&gt;4&lt;/td&gt;&lt;td&gt;23&lt;/td&gt;&lt;td&gt;0.33&lt;/td&gt;&lt;td&gt;33&lt;/td&gt;&lt;td&gt;0.47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76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1</v>
      </c>
      <c r="N19">
        <v>6</v>
      </c>
      <c r="O19" s="1">
        <f t="shared" si="0"/>
        <v>7.8947368421052627E-2</v>
      </c>
      <c r="P19">
        <v>4</v>
      </c>
      <c r="Q19">
        <v>2</v>
      </c>
      <c r="R19">
        <v>0</v>
      </c>
      <c r="S19">
        <v>0</v>
      </c>
      <c r="T19">
        <v>2</v>
      </c>
      <c r="U19">
        <v>0</v>
      </c>
      <c r="V19">
        <v>0</v>
      </c>
      <c r="W19">
        <v>2</v>
      </c>
      <c r="X19">
        <v>10</v>
      </c>
      <c r="Y19" s="1">
        <f t="shared" si="1"/>
        <v>0.13157894736842105</v>
      </c>
      <c r="Z19">
        <v>16</v>
      </c>
      <c r="AA19" s="1">
        <f t="shared" si="2"/>
        <v>0.21052631578947367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76&lt;/td&gt;&lt;td&gt;1&lt;/td&gt;&lt;td&gt;0&lt;/td&gt;&lt;td&gt;0&lt;/td&gt;&lt;td&gt;1&lt;/td&gt;&lt;td&gt;0&lt;/td&gt;&lt;td&gt;0&lt;/td&gt;&lt;td&gt;3&lt;/td&gt;&lt;td&gt;0&lt;/td&gt;&lt;td&gt;0&lt;/td&gt;&lt;td&gt;0&lt;/td&gt;&lt;td&gt;1&lt;/td&gt;&lt;td&gt;6&lt;/td&gt;&lt;td&gt;0.08&lt;/td&gt;&lt;td&gt;16&lt;/td&gt;&lt;td&gt;0.21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76&lt;/td&gt;&lt;td&gt;4&lt;/td&gt;&lt;td&gt;2&lt;/td&gt;&lt;td&gt;0&lt;/td&gt;&lt;td&gt;0&lt;/td&gt;&lt;td&gt;2&lt;/td&gt;&lt;td&gt;0&lt;/td&gt;&lt;td&gt;0&lt;/td&gt;&lt;td&gt;2&lt;/td&gt;&lt;td&gt;10&lt;/td&gt;&lt;td&gt;0.13&lt;/td&gt;&lt;td&gt;16&lt;/td&gt;&lt;td&gt;0.21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3</v>
      </c>
      <c r="O21" s="1">
        <f t="shared" si="0"/>
        <v>3.614457831325301E-2</v>
      </c>
      <c r="P21">
        <v>3</v>
      </c>
      <c r="Q21">
        <v>2</v>
      </c>
      <c r="R21">
        <v>1</v>
      </c>
      <c r="S21">
        <v>1</v>
      </c>
      <c r="T21">
        <v>0</v>
      </c>
      <c r="U21">
        <v>0</v>
      </c>
      <c r="V21">
        <v>2</v>
      </c>
      <c r="W21">
        <v>11</v>
      </c>
      <c r="X21">
        <v>20</v>
      </c>
      <c r="Y21" s="1">
        <f t="shared" si="1"/>
        <v>0.24096385542168675</v>
      </c>
      <c r="Z21">
        <v>23</v>
      </c>
      <c r="AA21" s="1">
        <f t="shared" si="2"/>
        <v>0.27710843373493976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83&lt;/td&gt;&lt;td&gt;0&lt;/td&gt;&lt;td&gt;0&lt;/td&gt;&lt;td&gt;0&lt;/td&gt;&lt;td&gt;0&lt;/td&gt;&lt;td&gt;0&lt;/td&gt;&lt;td&gt;0&lt;/td&gt;&lt;td&gt;2&lt;/td&gt;&lt;td&gt;1&lt;/td&gt;&lt;td&gt;0&lt;/td&gt;&lt;td&gt;0&lt;/td&gt;&lt;td&gt;0&lt;/td&gt;&lt;td&gt;3&lt;/td&gt;&lt;td&gt;0.04&lt;/td&gt;&lt;td&gt;23&lt;/td&gt;&lt;td&gt;0.28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83&lt;/td&gt;&lt;td&gt;3&lt;/td&gt;&lt;td&gt;2&lt;/td&gt;&lt;td&gt;1&lt;/td&gt;&lt;td&gt;1&lt;/td&gt;&lt;td&gt;0&lt;/td&gt;&lt;td&gt;0&lt;/td&gt;&lt;td&gt;2&lt;/td&gt;&lt;td&gt;11&lt;/td&gt;&lt;td&gt;20&lt;/td&gt;&lt;td&gt;0.24&lt;/td&gt;&lt;td&gt;23&lt;/td&gt;&lt;td&gt;0.28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3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5</v>
      </c>
      <c r="O22" s="1">
        <f t="shared" si="0"/>
        <v>5.5555555555555552E-2</v>
      </c>
      <c r="P22">
        <v>6</v>
      </c>
      <c r="Q22">
        <v>5</v>
      </c>
      <c r="R22">
        <v>0</v>
      </c>
      <c r="S22">
        <v>3</v>
      </c>
      <c r="T22">
        <v>8</v>
      </c>
      <c r="U22">
        <v>3</v>
      </c>
      <c r="V22">
        <v>20</v>
      </c>
      <c r="W22">
        <v>1</v>
      </c>
      <c r="X22">
        <v>46</v>
      </c>
      <c r="Y22" s="1">
        <f t="shared" si="1"/>
        <v>0.51111111111111107</v>
      </c>
      <c r="Z22">
        <v>51</v>
      </c>
      <c r="AA22" s="1">
        <f t="shared" si="2"/>
        <v>0.56666666666666665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3&lt;/td&gt;&lt;td&gt;1&lt;/td&gt;&lt;td&gt;0&lt;/td&gt;&lt;td&gt;0&lt;/td&gt;&lt;td&gt;0&lt;/td&gt;&lt;td&gt;1&lt;/td&gt;&lt;td&gt;0&lt;/td&gt;&lt;td&gt;0&lt;/td&gt;&lt;td&gt;5&lt;/td&gt;&lt;td&gt;0.06&lt;/td&gt;&lt;td&gt;51&lt;/td&gt;&lt;td&gt;0.57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6&lt;/td&gt;&lt;td&gt;5&lt;/td&gt;&lt;td&gt;0&lt;/td&gt;&lt;td&gt;3&lt;/td&gt;&lt;td&gt;8&lt;/td&gt;&lt;td&gt;3&lt;/td&gt;&lt;td&gt;20&lt;/td&gt;&lt;td&gt;1&lt;/td&gt;&lt;td&gt;46&lt;/td&gt;&lt;td&gt;0.51&lt;/td&gt;&lt;td&gt;51&lt;/td&gt;&lt;td&gt;0.57&lt;/td&gt;&lt;/tr&gt;</v>
      </c>
    </row>
    <row r="23" spans="1:46" x14ac:dyDescent="0.3">
      <c r="A23" t="s">
        <v>46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88</v>
      </c>
      <c r="C24">
        <v>0</v>
      </c>
      <c r="D24">
        <v>1</v>
      </c>
      <c r="E24">
        <v>3</v>
      </c>
      <c r="F24">
        <v>7</v>
      </c>
      <c r="G24">
        <v>0</v>
      </c>
      <c r="H24">
        <v>0</v>
      </c>
      <c r="I24">
        <v>3</v>
      </c>
      <c r="J24">
        <v>0</v>
      </c>
      <c r="K24">
        <v>0</v>
      </c>
      <c r="L24">
        <v>3</v>
      </c>
      <c r="M24">
        <v>0</v>
      </c>
      <c r="N24">
        <v>17</v>
      </c>
      <c r="O24" s="1">
        <f t="shared" si="0"/>
        <v>0.19318181818181818</v>
      </c>
      <c r="P24">
        <v>5</v>
      </c>
      <c r="Q24">
        <v>6</v>
      </c>
      <c r="R24">
        <v>3</v>
      </c>
      <c r="S24">
        <v>2</v>
      </c>
      <c r="T24">
        <v>2</v>
      </c>
      <c r="U24">
        <v>3</v>
      </c>
      <c r="V24">
        <v>0</v>
      </c>
      <c r="W24">
        <v>7</v>
      </c>
      <c r="X24">
        <v>28</v>
      </c>
      <c r="Y24" s="1">
        <f t="shared" si="1"/>
        <v>0.31818181818181818</v>
      </c>
      <c r="Z24">
        <v>45</v>
      </c>
      <c r="AA24" s="1">
        <f t="shared" si="2"/>
        <v>0.51136363636363635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88&lt;/td&gt;&lt;td&gt;0&lt;/td&gt;&lt;td&gt;1&lt;/td&gt;&lt;td&gt;3&lt;/td&gt;&lt;td&gt;7&lt;/td&gt;&lt;td&gt;0&lt;/td&gt;&lt;td&gt;0&lt;/td&gt;&lt;td&gt;3&lt;/td&gt;&lt;td&gt;0&lt;/td&gt;&lt;td&gt;0&lt;/td&gt;&lt;td&gt;3&lt;/td&gt;&lt;td&gt;0&lt;/td&gt;&lt;td&gt;17&lt;/td&gt;&lt;td&gt;0.19&lt;/td&gt;&lt;td&gt;45&lt;/td&gt;&lt;td&gt;0.51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88&lt;/td&gt;&lt;td&gt;5&lt;/td&gt;&lt;td&gt;6&lt;/td&gt;&lt;td&gt;3&lt;/td&gt;&lt;td&gt;2&lt;/td&gt;&lt;td&gt;2&lt;/td&gt;&lt;td&gt;3&lt;/td&gt;&lt;td&gt;0&lt;/td&gt;&lt;td&gt;7&lt;/td&gt;&lt;td&gt;28&lt;/td&gt;&lt;td&gt;0.32&lt;/td&gt;&lt;td&gt;45&lt;/td&gt;&lt;td&gt;0.51&lt;/td&gt;&lt;/tr&gt;</v>
      </c>
    </row>
    <row r="26" spans="1:46" x14ac:dyDescent="0.3">
      <c r="A26" t="str">
        <f>AC4</f>
        <v>&lt;tr&gt;&lt;td&gt;Makovicka&lt;/td&gt;&lt;td&gt;84&lt;/td&gt;&lt;td&gt;1&lt;/td&gt;&lt;td&gt;0&lt;/td&gt;&lt;td&gt;1&lt;/td&gt;&lt;td&gt;1&lt;/td&gt;&lt;td&gt;0&lt;/td&gt;&lt;td&gt;1&lt;/td&gt;&lt;td&gt;0&lt;/td&gt;&lt;td&gt;6&lt;/td&gt;&lt;td&gt;2&lt;/td&gt;&lt;td&gt;0&lt;/td&gt;&lt;td&gt;0&lt;/td&gt;&lt;td&gt;14&lt;/td&gt;&lt;td&gt;0.17&lt;/td&gt;&lt;td&gt;28&lt;/td&gt;&lt;td&gt;0.33&lt;/td&gt;&lt;/tr&gt;</v>
      </c>
    </row>
    <row r="27" spans="1:46" x14ac:dyDescent="0.3">
      <c r="A27" t="str">
        <f>AC15</f>
        <v>&lt;tr&gt;&lt;td&gt;Williams&lt;/td&gt;&lt;td&gt;90&lt;/td&gt;&lt;td&gt;0&lt;/td&gt;&lt;td&gt;0&lt;/td&gt;&lt;td&gt;1&lt;/td&gt;&lt;td&gt;2&lt;/td&gt;&lt;td&gt;1&lt;/td&gt;&lt;td&gt;0&lt;/td&gt;&lt;td&gt;0&lt;/td&gt;&lt;td&gt;0&lt;/td&gt;&lt;td&gt;0&lt;/td&gt;&lt;td&gt;0&lt;/td&gt;&lt;td&gt;0&lt;/td&gt;&lt;td&gt;4&lt;/td&gt;&lt;td&gt;0.04&lt;/td&gt;&lt;td&gt;24&lt;/td&gt;&lt;td&gt;0.27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88&lt;/td&gt;&lt;td&gt;0&lt;/td&gt;&lt;td&gt;1&lt;/td&gt;&lt;td&gt;3&lt;/td&gt;&lt;td&gt;7&lt;/td&gt;&lt;td&gt;0&lt;/td&gt;&lt;td&gt;0&lt;/td&gt;&lt;td&gt;3&lt;/td&gt;&lt;td&gt;0&lt;/td&gt;&lt;td&gt;0&lt;/td&gt;&lt;td&gt;3&lt;/td&gt;&lt;td&gt;0&lt;/td&gt;&lt;td&gt;17&lt;/td&gt;&lt;td&gt;0.19&lt;/td&gt;&lt;td&gt;45&lt;/td&gt;&lt;td&gt;0.51&lt;/td&gt;&lt;/tr&gt;</v>
      </c>
    </row>
    <row r="30" spans="1:46" x14ac:dyDescent="0.3">
      <c r="A30" t="str">
        <f>AC12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3&lt;/td&gt;&lt;td&gt;1&lt;/td&gt;&lt;td&gt;0&lt;/td&gt;&lt;td&gt;0&lt;/td&gt;&lt;td&gt;0&lt;/td&gt;&lt;td&gt;1&lt;/td&gt;&lt;td&gt;0&lt;/td&gt;&lt;td&gt;0&lt;/td&gt;&lt;td&gt;5&lt;/td&gt;&lt;td&gt;0.06&lt;/td&gt;&lt;td&gt;51&lt;/td&gt;&lt;td&gt;0.57&lt;/td&gt;&lt;/tr&gt;</v>
      </c>
    </row>
    <row r="32" spans="1:46" x14ac:dyDescent="0.3">
      <c r="A32" t="str">
        <f>AC3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3" spans="1:1" x14ac:dyDescent="0.3">
      <c r="A33" t="str">
        <f>AC7</f>
        <v>&lt;tr&gt;&lt;td&gt;Donnelly&lt;/td&gt;&lt;td&gt;90&lt;/td&gt;&lt;td&gt;0&lt;/td&gt;&lt;td&gt;0&lt;/td&gt;&lt;td&gt;2&lt;/td&gt;&lt;td&gt;5&lt;/td&gt;&lt;td&gt;0&lt;/td&gt;&lt;td&gt;1&lt;/td&gt;&lt;td&gt;0&lt;/td&gt;&lt;td&gt;0&lt;/td&gt;&lt;td&gt;0&lt;/td&gt;&lt;td&gt;0&lt;/td&gt;&lt;td&gt;0&lt;/td&gt;&lt;td&gt;8&lt;/td&gt;&lt;td&gt;0.09&lt;/td&gt;&lt;td&gt;31&lt;/td&gt;&lt;td&gt;0.34&lt;/td&gt;&lt;/tr&gt;</v>
      </c>
    </row>
    <row r="34" spans="1:1" x14ac:dyDescent="0.3">
      <c r="A34" t="str">
        <f>AC8</f>
        <v>&lt;tr&gt;&lt;td&gt;Drozda&lt;/td&gt;&lt;td&gt;28&lt;/td&gt;&lt;td&gt;0&lt;/td&gt;&lt;td&gt;0&lt;/td&gt;&lt;td&gt;1&lt;/td&gt;&lt;td&gt;1&lt;/td&gt;&lt;td&gt;1&lt;/td&gt;&lt;td&gt;0&lt;/td&gt;&lt;td&gt;0&lt;/td&gt;&lt;td&gt;0&lt;/td&gt;&lt;td&gt;0&lt;/td&gt;&lt;td&gt;1&lt;/td&gt;&lt;td&gt;0&lt;/td&gt;&lt;td&gt;4&lt;/td&gt;&lt;td&gt;0.14&lt;/td&gt;&lt;td&gt;12&lt;/td&gt;&lt;td&gt;0.43&lt;/td&gt;&lt;/tr&gt;</v>
      </c>
    </row>
    <row r="35" spans="1:1" x14ac:dyDescent="0.3">
      <c r="A35" t="str">
        <f>AC23</f>
        <v>&lt;tr&gt;&lt;td&gt;Sato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27&lt;/td&gt;&lt;td&gt;0&lt;/td&gt;&lt;td&gt;1&lt;/td&gt;&lt;td&gt;0&lt;/td&gt;&lt;td&gt;3&lt;/td&gt;&lt;td&gt;0&lt;/td&gt;&lt;td&gt;0&lt;/td&gt;&lt;td&gt;0&lt;/td&gt;&lt;td&gt;0&lt;/td&gt;&lt;td&gt;0&lt;/td&gt;&lt;td&gt;0&lt;/td&gt;&lt;td&gt;0&lt;/td&gt;&lt;td&gt;4&lt;/td&gt;&lt;td&gt;0.15&lt;/td&gt;&lt;td&gt;12&lt;/td&gt;&lt;td&gt;0.44&lt;/td&gt;&lt;/tr&gt;</v>
      </c>
    </row>
    <row r="38" spans="1:1" x14ac:dyDescent="0.3">
      <c r="A38" t="str">
        <f>AC21</f>
        <v>&lt;tr&gt;&lt;td&gt;Snowden&lt;/td&gt;&lt;td&gt;83&lt;/td&gt;&lt;td&gt;0&lt;/td&gt;&lt;td&gt;0&lt;/td&gt;&lt;td&gt;0&lt;/td&gt;&lt;td&gt;0&lt;/td&gt;&lt;td&gt;0&lt;/td&gt;&lt;td&gt;0&lt;/td&gt;&lt;td&gt;2&lt;/td&gt;&lt;td&gt;1&lt;/td&gt;&lt;td&gt;0&lt;/td&gt;&lt;td&gt;0&lt;/td&gt;&lt;td&gt;0&lt;/td&gt;&lt;td&gt;3&lt;/td&gt;&lt;td&gt;0.04&lt;/td&gt;&lt;td&gt;23&lt;/td&gt;&lt;td&gt;0.28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28&lt;/td&gt;&lt;td&gt;0&lt;/td&gt;&lt;td&gt;0&lt;/td&gt;&lt;td&gt;1&lt;/td&gt;&lt;td&gt;0&lt;/td&gt;&lt;td&gt;0&lt;/td&gt;&lt;td&gt;0&lt;/td&gt;&lt;td&gt;0&lt;/td&gt;&lt;td&gt;1&lt;/td&gt;&lt;td&gt;1&lt;/td&gt;&lt;td&gt;0&lt;/td&gt;&lt;td&gt;0&lt;/td&gt;&lt;td&gt;3&lt;/td&gt;&lt;td&gt;0.11&lt;/td&gt;&lt;td&gt;11&lt;/td&gt;&lt;td&gt;0.39&lt;/td&gt;&lt;/tr&gt;</v>
      </c>
    </row>
    <row r="42" spans="1:1" x14ac:dyDescent="0.3">
      <c r="A42" t="str">
        <f>AC10</f>
        <v>&lt;tr&gt;&lt;td&gt;Rudney&lt;/td&gt;&lt;td&gt;88&lt;/td&gt;&lt;td&gt;1&lt;/td&gt;&lt;td&gt;0&lt;/td&gt;&lt;td&gt;0&lt;/td&gt;&lt;td&gt;1&lt;/td&gt;&lt;td&gt;0&lt;/td&gt;&lt;td&gt;1&lt;/td&gt;&lt;td&gt;2&lt;/td&gt;&lt;td&gt;2&lt;/td&gt;&lt;td&gt;0&lt;/td&gt;&lt;td&gt;0&lt;/td&gt;&lt;td&gt;2&lt;/td&gt;&lt;td&gt;9&lt;/td&gt;&lt;td&gt;0.10&lt;/td&gt;&lt;td&gt;19&lt;/td&gt;&lt;td&gt;0.22&lt;/td&gt;&lt;/tr&gt;</v>
      </c>
    </row>
    <row r="43" spans="1:1" x14ac:dyDescent="0.3">
      <c r="A43" t="str">
        <f>AC2</f>
        <v>&lt;tr&gt;&lt;td&gt;Jones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0.29&lt;/td&gt;&lt;/tr&gt;</v>
      </c>
    </row>
    <row r="44" spans="1:1" x14ac:dyDescent="0.3">
      <c r="A44" t="str">
        <f>AC19</f>
        <v>&lt;tr&gt;&lt;td&gt;Lewis&lt;/td&gt;&lt;td&gt;76&lt;/td&gt;&lt;td&gt;1&lt;/td&gt;&lt;td&gt;0&lt;/td&gt;&lt;td&gt;0&lt;/td&gt;&lt;td&gt;1&lt;/td&gt;&lt;td&gt;0&lt;/td&gt;&lt;td&gt;0&lt;/td&gt;&lt;td&gt;3&lt;/td&gt;&lt;td&gt;0&lt;/td&gt;&lt;td&gt;0&lt;/td&gt;&lt;td&gt;0&lt;/td&gt;&lt;td&gt;1&lt;/td&gt;&lt;td&gt;6&lt;/td&gt;&lt;td&gt;0.08&lt;/td&gt;&lt;td&gt;16&lt;/td&gt;&lt;td&gt;0.21&lt;/td&gt;&lt;/tr&gt;</v>
      </c>
    </row>
    <row r="45" spans="1:1" x14ac:dyDescent="0.3">
      <c r="A45" t="str">
        <f>AC17</f>
        <v>&lt;tr&gt;&lt;td&gt;Carpenter&lt;/td&gt;&lt;td&gt;70&lt;/td&gt;&lt;td&gt;0&lt;/td&gt;&lt;td&gt;0&lt;/td&gt;&lt;td&gt;1&lt;/td&gt;&lt;td&gt;8&lt;/td&gt;&lt;td&gt;0&lt;/td&gt;&lt;td&gt;0&lt;/td&gt;&lt;td&gt;0&lt;/td&gt;&lt;td&gt;1&lt;/td&gt;&lt;td&gt;0&lt;/td&gt;&lt;td&gt;0&lt;/td&gt;&lt;td&gt;0&lt;/td&gt;&lt;td&gt;10&lt;/td&gt;&lt;td&gt;0.14&lt;/td&gt;&lt;td&gt;33&lt;/td&gt;&lt;td&gt;0.47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56&lt;/td&gt;&lt;td&gt;0&lt;/td&gt;&lt;td&gt;0&lt;/td&gt;&lt;td&gt;1&lt;/td&gt;&lt;td&gt;2&lt;/td&gt;&lt;td&gt;0&lt;/td&gt;&lt;td&gt;0&lt;/td&gt;&lt;td&gt;2&lt;/td&gt;&lt;td&gt;1&lt;/td&gt;&lt;td&gt;2&lt;/td&gt;&lt;td&gt;0&lt;/td&gt;&lt;td&gt;0&lt;/td&gt;&lt;td&gt;8&lt;/td&gt;&lt;td&gt;0.14&lt;/td&gt;&lt;td&gt;14&lt;/td&gt;&lt;td&gt;0.25&lt;/td&gt;&lt;/tr&gt;</v>
      </c>
    </row>
    <row r="48" spans="1:1" x14ac:dyDescent="0.3">
      <c r="A48" t="str">
        <f>AC6</f>
        <v>&lt;tr&gt;&lt;td&gt;Wistrom&lt;/td&gt;&lt;td&gt;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1.00&lt;/td&gt;&lt;/tr&gt;</v>
      </c>
    </row>
    <row r="50" spans="1:1" x14ac:dyDescent="0.3">
      <c r="A50" t="str">
        <f>AT4</f>
        <v>&lt;tr&gt;&lt;td&gt;Makovicka&lt;/td&gt;&lt;td&gt;84&lt;/td&gt;&lt;td&gt;2&lt;/td&gt;&lt;td&gt;1&lt;/td&gt;&lt;td&gt;0&lt;/td&gt;&lt;td&gt;1&lt;/td&gt;&lt;td&gt;2&lt;/td&gt;&lt;td&gt;0&lt;/td&gt;&lt;td&gt;2&lt;/td&gt;&lt;td&gt;6&lt;/td&gt;&lt;td&gt;14&lt;/td&gt;&lt;td&gt;0.17&lt;/td&gt;&lt;td&gt;28&lt;/td&gt;&lt;td&gt;0.33&lt;/td&gt;&lt;/tr&gt;</v>
      </c>
    </row>
    <row r="51" spans="1:1" x14ac:dyDescent="0.3">
      <c r="A51" t="str">
        <f>AT15</f>
        <v>&lt;tr&gt;&lt;td&gt;Williams&lt;/td&gt;&lt;td&gt;90&lt;/td&gt;&lt;td&gt;3&lt;/td&gt;&lt;td&gt;4&lt;/td&gt;&lt;td&gt;0&lt;/td&gt;&lt;td&gt;2&lt;/td&gt;&lt;td&gt;3&lt;/td&gt;&lt;td&gt;0&lt;/td&gt;&lt;td&gt;4&lt;/td&gt;&lt;td&gt;4&lt;/td&gt;&lt;td&gt;20&lt;/td&gt;&lt;td&gt;0.22&lt;/td&gt;&lt;td&gt;24&lt;/td&gt;&lt;td&gt;0.27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88&lt;/td&gt;&lt;td&gt;5&lt;/td&gt;&lt;td&gt;6&lt;/td&gt;&lt;td&gt;3&lt;/td&gt;&lt;td&gt;2&lt;/td&gt;&lt;td&gt;2&lt;/td&gt;&lt;td&gt;3&lt;/td&gt;&lt;td&gt;0&lt;/td&gt;&lt;td&gt;7&lt;/td&gt;&lt;td&gt;28&lt;/td&gt;&lt;td&gt;0.32&lt;/td&gt;&lt;td&gt;45&lt;/td&gt;&lt;td&gt;0.51&lt;/td&gt;&lt;/tr&gt;</v>
      </c>
    </row>
    <row r="54" spans="1:1" x14ac:dyDescent="0.3">
      <c r="A54" t="str">
        <f>AT12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5" spans="1:1" x14ac:dyDescent="0.3">
      <c r="A55" t="str">
        <f>AT22</f>
        <v>&lt;tr&gt;&lt;td&gt;Borer&lt;/td&gt;&lt;td&gt;90&lt;/td&gt;&lt;td&gt;6&lt;/td&gt;&lt;td&gt;5&lt;/td&gt;&lt;td&gt;0&lt;/td&gt;&lt;td&gt;3&lt;/td&gt;&lt;td&gt;8&lt;/td&gt;&lt;td&gt;3&lt;/td&gt;&lt;td&gt;20&lt;/td&gt;&lt;td&gt;1&lt;/td&gt;&lt;td&gt;46&lt;/td&gt;&lt;td&gt;0.51&lt;/td&gt;&lt;td&gt;51&lt;/td&gt;&lt;td&gt;0.57&lt;/td&gt;&lt;/tr&gt;</v>
      </c>
    </row>
    <row r="56" spans="1:1" x14ac:dyDescent="0.3">
      <c r="A56" t="str">
        <f>AT3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7" spans="1:1" x14ac:dyDescent="0.3">
      <c r="A57" t="str">
        <f>AT7</f>
        <v>&lt;tr&gt;&lt;td&gt;Donnelly&lt;/td&gt;&lt;td&gt;90&lt;/td&gt;&lt;td&gt;1&lt;/td&gt;&lt;td&gt;5&lt;/td&gt;&lt;td&gt;2&lt;/td&gt;&lt;td&gt;2&lt;/td&gt;&lt;td&gt;2&lt;/td&gt;&lt;td&gt;0&lt;/td&gt;&lt;td&gt;8&lt;/td&gt;&lt;td&gt;3&lt;/td&gt;&lt;td&gt;23&lt;/td&gt;&lt;td&gt;0.26&lt;/td&gt;&lt;td&gt;31&lt;/td&gt;&lt;td&gt;0.34&lt;/td&gt;&lt;/tr&gt;</v>
      </c>
    </row>
    <row r="58" spans="1:1" x14ac:dyDescent="0.3">
      <c r="A58" t="str">
        <f>AT8</f>
        <v>&lt;tr&gt;&lt;td&gt;Drozda&lt;/td&gt;&lt;td&gt;28&lt;/td&gt;&lt;td&gt;2&lt;/td&gt;&lt;td&gt;1&lt;/td&gt;&lt;td&gt;1&lt;/td&gt;&lt;td&gt;1&lt;/td&gt;&lt;td&gt;0&lt;/td&gt;&lt;td&gt;0&lt;/td&gt;&lt;td&gt;2&lt;/td&gt;&lt;td&gt;1&lt;/td&gt;&lt;td&gt;8&lt;/td&gt;&lt;td&gt;0.29&lt;/td&gt;&lt;td&gt;12&lt;/td&gt;&lt;td&gt;0.43&lt;/td&gt;&lt;/tr&gt;</v>
      </c>
    </row>
    <row r="59" spans="1:1" x14ac:dyDescent="0.3">
      <c r="A59" t="str">
        <f>AT23</f>
        <v>&lt;tr&gt;&lt;td&gt;Sato&lt;/td&gt;&lt;td&gt;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27&lt;/td&gt;&lt;td&gt;2&lt;/td&gt;&lt;td&gt;3&lt;/td&gt;&lt;td&gt;1&lt;/td&gt;&lt;td&gt;0&lt;/td&gt;&lt;td&gt;1&lt;/td&gt;&lt;td&gt;1&lt;/td&gt;&lt;td&gt;0&lt;/td&gt;&lt;td&gt;0&lt;/td&gt;&lt;td&gt;8&lt;/td&gt;&lt;td&gt;0.30&lt;/td&gt;&lt;td&gt;12&lt;/td&gt;&lt;td&gt;0.44&lt;/td&gt;&lt;/tr&gt;</v>
      </c>
    </row>
    <row r="62" spans="1:1" x14ac:dyDescent="0.3">
      <c r="A62" t="str">
        <f>AT21</f>
        <v>&lt;tr&gt;&lt;td&gt;Snowden&lt;/td&gt;&lt;td&gt;83&lt;/td&gt;&lt;td&gt;3&lt;/td&gt;&lt;td&gt;2&lt;/td&gt;&lt;td&gt;1&lt;/td&gt;&lt;td&gt;1&lt;/td&gt;&lt;td&gt;0&lt;/td&gt;&lt;td&gt;0&lt;/td&gt;&lt;td&gt;2&lt;/td&gt;&lt;td&gt;11&lt;/td&gt;&lt;td&gt;20&lt;/td&gt;&lt;td&gt;0.24&lt;/td&gt;&lt;td&gt;23&lt;/td&gt;&lt;td&gt;0.28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28&lt;/td&gt;&lt;td&gt;1&lt;/td&gt;&lt;td&gt;0&lt;/td&gt;&lt;td&gt;0&lt;/td&gt;&lt;td&gt;0&lt;/td&gt;&lt;td&gt;1&lt;/td&gt;&lt;td&gt;3&lt;/td&gt;&lt;td&gt;0&lt;/td&gt;&lt;td&gt;3&lt;/td&gt;&lt;td&gt;8&lt;/td&gt;&lt;td&gt;0.29&lt;/td&gt;&lt;td&gt;11&lt;/td&gt;&lt;td&gt;0.39&lt;/td&gt;&lt;/tr&gt;</v>
      </c>
    </row>
    <row r="66" spans="1:23" x14ac:dyDescent="0.3">
      <c r="A66" t="str">
        <f>AT10</f>
        <v>&lt;tr&gt;&lt;td&gt;Rudney&lt;/td&gt;&lt;td&gt;88&lt;/td&gt;&lt;td&gt;1&lt;/td&gt;&lt;td&gt;0&lt;/td&gt;&lt;td&gt;1&lt;/td&gt;&lt;td&gt;1&lt;/td&gt;&lt;td&gt;4&lt;/td&gt;&lt;td&gt;0&lt;/td&gt;&lt;td&gt;0&lt;/td&gt;&lt;td&gt;3&lt;/td&gt;&lt;td&gt;10&lt;/td&gt;&lt;td&gt;0.11&lt;/td&gt;&lt;td&gt;19&lt;/td&gt;&lt;td&gt;0.22&lt;/td&gt;&lt;/tr&gt;</v>
      </c>
    </row>
    <row r="67" spans="1:23" x14ac:dyDescent="0.3">
      <c r="A67" t="str">
        <f>AT2</f>
        <v>&lt;tr&gt;&lt;td&gt;Jones&lt;/td&gt;&lt;td&gt;7&lt;/td&gt;&lt;td&gt;1&lt;/td&gt;&lt;td&gt;0&lt;/td&gt;&lt;td&gt;0&lt;/td&gt;&lt;td&gt;0&lt;/td&gt;&lt;td&gt;0&lt;/td&gt;&lt;td&gt;0&lt;/td&gt;&lt;td&gt;0&lt;/td&gt;&lt;td&gt;1&lt;/td&gt;&lt;td&gt;2&lt;/td&gt;&lt;td&gt;0.29&lt;/td&gt;&lt;td&gt;2&lt;/td&gt;&lt;td&gt;0.29&lt;/td&gt;&lt;/tr&gt;</v>
      </c>
    </row>
    <row r="68" spans="1:23" x14ac:dyDescent="0.3">
      <c r="A68" t="str">
        <f>AT19</f>
        <v>&lt;tr&gt;&lt;td&gt;Lewis&lt;/td&gt;&lt;td&gt;76&lt;/td&gt;&lt;td&gt;4&lt;/td&gt;&lt;td&gt;2&lt;/td&gt;&lt;td&gt;0&lt;/td&gt;&lt;td&gt;0&lt;/td&gt;&lt;td&gt;2&lt;/td&gt;&lt;td&gt;0&lt;/td&gt;&lt;td&gt;0&lt;/td&gt;&lt;td&gt;2&lt;/td&gt;&lt;td&gt;10&lt;/td&gt;&lt;td&gt;0.13&lt;/td&gt;&lt;td&gt;16&lt;/td&gt;&lt;td&gt;0.21&lt;/td&gt;&lt;/tr&gt;</v>
      </c>
    </row>
    <row r="69" spans="1:23" x14ac:dyDescent="0.3">
      <c r="A69" t="str">
        <f>AT17</f>
        <v>&lt;tr&gt;&lt;td&gt;Carpenter&lt;/td&gt;&lt;td&gt;70&lt;/td&gt;&lt;td&gt;4&lt;/td&gt;&lt;td&gt;9&lt;/td&gt;&lt;td&gt;0&lt;/td&gt;&lt;td&gt;0&lt;/td&gt;&lt;td&gt;3&lt;/td&gt;&lt;td&gt;0&lt;/td&gt;&lt;td&gt;3&lt;/td&gt;&lt;td&gt;4&lt;/td&gt;&lt;td&gt;23&lt;/td&gt;&lt;td&gt;0.33&lt;/td&gt;&lt;td&gt;33&lt;/td&gt;&lt;td&gt;0.47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56&lt;/td&gt;&lt;td&gt;3&lt;/td&gt;&lt;td&gt;1&lt;/td&gt;&lt;td&gt;0&lt;/td&gt;&lt;td&gt;0&lt;/td&gt;&lt;td&gt;0&lt;/td&gt;&lt;td&gt;0&lt;/td&gt;&lt;td&gt;0&lt;/td&gt;&lt;td&gt;2&lt;/td&gt;&lt;td&gt;6&lt;/td&gt;&lt;td&gt;0.11&lt;/td&gt;&lt;td&gt;14&lt;/td&gt;&lt;td&gt;0.25&lt;/td&gt;&lt;/tr&gt;</v>
      </c>
    </row>
    <row r="72" spans="1:23" x14ac:dyDescent="0.3">
      <c r="A72" t="str">
        <f>AT6</f>
        <v>&lt;tr&gt;&lt;td&gt;Wistrom&lt;/td&gt;&lt;td&gt;2&lt;/td&gt;&lt;td&gt;0&lt;/td&gt;&lt;td&gt;1&lt;/td&gt;&lt;td&gt;0&lt;/td&gt;&lt;td&gt;0&lt;/td&gt;&lt;td&gt;0&lt;/td&gt;&lt;td&gt;0&lt;/td&gt;&lt;td&gt;0&lt;/td&gt;&lt;td&gt;1&lt;/td&gt;&lt;td&gt;2&lt;/td&gt;&lt;td&gt;1.00&lt;/td&gt;&lt;td&gt;2&lt;/td&gt;&lt;td&gt;1.00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84,</v>
      </c>
      <c r="B76" t="str">
        <f>"minutes: "&amp;$B$15&amp;","</f>
        <v>minutes: 90,</v>
      </c>
      <c r="C76" t="str">
        <f>"minutes: "&amp;$B$9&amp;","</f>
        <v>minutes: 0,</v>
      </c>
      <c r="D76" t="str">
        <f>"minutes: "&amp;$B$24&amp;","</f>
        <v>minutes: 88,</v>
      </c>
      <c r="E76" t="str">
        <f>"minutes: "&amp;$B$12&amp;","</f>
        <v>minutes: 0,</v>
      </c>
      <c r="F76" t="str">
        <f>"minutes: "&amp;$B$22&amp;","</f>
        <v>minutes: 90,</v>
      </c>
      <c r="G76" t="str">
        <f>"minutes: "&amp;$B$3&amp;","</f>
        <v>minutes: 0,</v>
      </c>
      <c r="H76" t="str">
        <f>"minutes: "&amp;$B$7&amp;","</f>
        <v>minutes: 90,</v>
      </c>
      <c r="I76" t="str">
        <f>"minutes: "&amp;$B$8&amp;","</f>
        <v>minutes: 28,</v>
      </c>
      <c r="J76" t="str">
        <f>"minutes: "&amp;$B$23&amp;","</f>
        <v>minutes: 2,</v>
      </c>
      <c r="K76" t="str">
        <f>"minutes: "&amp;$B$20&amp;","</f>
        <v>minutes: 0,</v>
      </c>
      <c r="L76" t="str">
        <f>"minutes: "&amp;$B$14&amp;","</f>
        <v>minutes: 27,</v>
      </c>
      <c r="M76" t="str">
        <f>"minutes: "&amp;$B$21&amp;","</f>
        <v>minutes: 83,</v>
      </c>
      <c r="N76" t="str">
        <f>"minutes: "&amp;$B$11&amp;","</f>
        <v>minutes: 0,</v>
      </c>
      <c r="O76" t="str">
        <f>"minutes: "&amp;$B$13&amp;","</f>
        <v>minutes: 2,</v>
      </c>
      <c r="P76" t="str">
        <f>"minutes: "&amp;$B$5&amp;","</f>
        <v>minutes: 28,</v>
      </c>
      <c r="Q76" t="str">
        <f>"minutes: "&amp;$B$10&amp;","</f>
        <v>minutes: 88,</v>
      </c>
      <c r="R76" t="str">
        <f>"minutes: "&amp;$B$2&amp;","</f>
        <v>minutes: 7,</v>
      </c>
      <c r="S76" t="str">
        <f>"minutes: "&amp;$B$19&amp;","</f>
        <v>minutes: 76,</v>
      </c>
      <c r="T76" t="str">
        <f>"minutes: "&amp;$B$17&amp;","</f>
        <v>minutes: 70,</v>
      </c>
      <c r="U76" t="str">
        <f>"minutes: "&amp;$B$18&amp;","</f>
        <v>minutes: 0,</v>
      </c>
      <c r="V76" t="str">
        <f>"minutes: "&amp;$B$16&amp;","</f>
        <v>minutes: 56,</v>
      </c>
      <c r="W76" t="str">
        <f>"minutes: "&amp;$B$6&amp;","</f>
        <v>minutes: 2,</v>
      </c>
    </row>
    <row r="77" spans="1:23" x14ac:dyDescent="0.3">
      <c r="A77" t="str">
        <f>"totalActions: "&amp;$Z$4&amp;","</f>
        <v>totalActions: 28,</v>
      </c>
      <c r="B77" t="str">
        <f>"totalActions: "&amp;$Z$15&amp;","</f>
        <v>totalActions: 24,</v>
      </c>
      <c r="C77" t="str">
        <f>"totalActions: "&amp;$Z$9&amp;","</f>
        <v>totalActions: 0,</v>
      </c>
      <c r="D77" t="str">
        <f>"totalActions: "&amp;$Z$24&amp;","</f>
        <v>totalActions: 45,</v>
      </c>
      <c r="E77" t="str">
        <f>"totalActions: "&amp;$Z$12&amp;","</f>
        <v>totalActions: 0,</v>
      </c>
      <c r="F77" t="str">
        <f>"totalActions: "&amp;$Z$22&amp;","</f>
        <v>totalActions: 51,</v>
      </c>
      <c r="G77" t="str">
        <f>"totalActions: "&amp;$Z$3&amp;","</f>
        <v>totalActions: 0,</v>
      </c>
      <c r="H77" t="str">
        <f>"totalActions: "&amp;$Z$7&amp;","</f>
        <v>totalActions: 31,</v>
      </c>
      <c r="I77" t="str">
        <f>"totalActions: "&amp;$Z$8&amp;","</f>
        <v>totalActions: 12,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12,</v>
      </c>
      <c r="M77" t="str">
        <f>"totalActions: "&amp;$Z$21&amp;","</f>
        <v>totalActions: 23,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11,</v>
      </c>
      <c r="Q77" t="str">
        <f>"totalActions: "&amp;$Z$10&amp;","</f>
        <v>totalActions: 19,</v>
      </c>
      <c r="R77" t="str">
        <f>"totalActions: "&amp;$Z$2&amp;","</f>
        <v>totalActions: 2,</v>
      </c>
      <c r="S77" t="str">
        <f>"totalActions: "&amp;$Z$19&amp;","</f>
        <v>totalActions: 16,</v>
      </c>
      <c r="T77" t="str">
        <f>"totalActions: "&amp;$Z$17&amp;","</f>
        <v>totalActions: 33,</v>
      </c>
      <c r="U77" t="str">
        <f>"totalActions: "&amp;$Z$18&amp;","</f>
        <v>totalActions: 0,</v>
      </c>
      <c r="V77" t="str">
        <f>"totalActions: "&amp;$Z$16&amp;","</f>
        <v>totalActions: 14,</v>
      </c>
      <c r="W77" t="str">
        <f>"totalActions: "&amp;$Z$6&amp;","</f>
        <v>totalActions: 2,</v>
      </c>
    </row>
    <row r="78" spans="1:23" x14ac:dyDescent="0.3">
      <c r="A78" t="str">
        <f>"actionsPerMinute: "&amp;TEXT($AA$4,"0.00")&amp;","</f>
        <v>actionsPerMinute: 0.33,</v>
      </c>
      <c r="B78" t="str">
        <f>"actionsPerMinute: "&amp;TEXT($AA$15,"0.00")&amp;","</f>
        <v>actionsPerMinute: 0.27,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0.51,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0.57,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0.34,</v>
      </c>
      <c r="I78" t="str">
        <f>"actionsPerMinute: "&amp;TEXT($AA$8,"0.00")&amp;","</f>
        <v>actionsPerMinute: 0.43,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0.44,</v>
      </c>
      <c r="M78" t="str">
        <f>"actionsPerMinute: "&amp;TEXT($AA$21,"0.00")&amp;","</f>
        <v>actionsPerMinute: 0.28,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0.39,</v>
      </c>
      <c r="Q78" t="str">
        <f>"actionsPerMinute: "&amp;TEXT($AA$10,"0.00")&amp;","</f>
        <v>actionsPerMinute: 0.22,</v>
      </c>
      <c r="R78" t="str">
        <f>"actionsPerMinute: "&amp;TEXT($AA$2,"0.00")&amp;","</f>
        <v>actionsPerMinute: 0.29,</v>
      </c>
      <c r="S78" t="str">
        <f>"actionsPerMinute: "&amp;TEXT($AA$19,"0.00")&amp;","</f>
        <v>actionsPerMinute: 0.21,</v>
      </c>
      <c r="T78" t="str">
        <f>"actionsPerMinute: "&amp;TEXT($AA$17,"0.00")&amp;","</f>
        <v>actionsPerMinute: 0.47,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0.25,</v>
      </c>
      <c r="W78" t="str">
        <f>"actionsPerMinute: "&amp;TEXT($AA$6,"0.00")&amp;","</f>
        <v>actionsPerMinute: 1.00,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14,</v>
      </c>
      <c r="B81" t="str">
        <f>"totalActions: "&amp;$N$15&amp;","</f>
        <v>totalActions: 4,</v>
      </c>
      <c r="C81" t="str">
        <f>"totalActions: "&amp;$N$9&amp;","</f>
        <v>totalActions: 0,</v>
      </c>
      <c r="D81" t="str">
        <f>"totalActions: "&amp;$N$24&amp;","</f>
        <v>totalActions: 17,</v>
      </c>
      <c r="E81" t="str">
        <f>"totalActions: "&amp;$N$12&amp;","</f>
        <v>totalActions: 0,</v>
      </c>
      <c r="F81" t="str">
        <f>"totalActions: "&amp;$N$22&amp;","</f>
        <v>totalActions: 5,</v>
      </c>
      <c r="G81" t="str">
        <f>"totalActions: "&amp;$N$3&amp;","</f>
        <v>totalActions: 0,</v>
      </c>
      <c r="H81" t="str">
        <f>"totalActions: "&amp;$N$7&amp;","</f>
        <v>totalActions: 8,</v>
      </c>
      <c r="I81" t="str">
        <f>"totalActions: "&amp;$N$8&amp;","</f>
        <v>totalActions: 4,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4,</v>
      </c>
      <c r="M81" t="str">
        <f>"totalActions: "&amp;$N$21&amp;","</f>
        <v>totalActions: 3,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3,</v>
      </c>
      <c r="Q81" t="str">
        <f>"totalActions: "&amp;$N$10&amp;","</f>
        <v>totalActions: 9,</v>
      </c>
      <c r="R81" t="str">
        <f>"totalActions: "&amp;$N$2&amp;","</f>
        <v>totalActions: 0,</v>
      </c>
      <c r="S81" t="str">
        <f>"totalActions: "&amp;$N$19&amp;","</f>
        <v>totalActions: 6,</v>
      </c>
      <c r="T81" t="str">
        <f>"totalActions: "&amp;$N$17&amp;","</f>
        <v>totalActions: 10,</v>
      </c>
      <c r="U81" t="str">
        <f>"totalActions: "&amp;$N$18&amp;","</f>
        <v>totalActions: 0,</v>
      </c>
      <c r="V81" t="str">
        <f>"totalActions: "&amp;$N$16&amp;","</f>
        <v>totalActions: 8,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0.17,</v>
      </c>
      <c r="B82" t="str">
        <f>"actionsPerMinute: "&amp;TEXT($O$15,"0.00")&amp;","</f>
        <v>actionsPerMinute: 0.04,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0.19,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0.06,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0.09,</v>
      </c>
      <c r="I82" t="str">
        <f>"actionsPerMinute: "&amp;TEXT($O$8,"0.00")&amp;","</f>
        <v>actionsPerMinute: 0.14,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0.15,</v>
      </c>
      <c r="M82" t="str">
        <f>"actionsPerMinute: "&amp;TEXT($O$21,"0.00")&amp;","</f>
        <v>actionsPerMinute: 0.04,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0.11,</v>
      </c>
      <c r="Q82" t="str">
        <f>"actionsPerMinute: "&amp;TEXT($O$10,"0.00")&amp;","</f>
        <v>actionsPerMinute: 0.10,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0.08,</v>
      </c>
      <c r="T82" t="str">
        <f>"actionsPerMinute: "&amp;TEXT($O$17,"0.00")&amp;","</f>
        <v>actionsPerMinute: 0.14,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0.14,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1,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1,</v>
      </c>
      <c r="R83" t="str">
        <f>"goals: "&amp;$C$2&amp;","</f>
        <v>goals: 0,</v>
      </c>
      <c r="S83" t="str">
        <f>"goals: "&amp;$C$19&amp;","</f>
        <v>goals: 1,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1,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1,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1,</v>
      </c>
      <c r="B85" t="str">
        <f>"keyPasses: "&amp;$E$15&amp;","</f>
        <v>keyPasses: 1,</v>
      </c>
      <c r="C85" t="str">
        <f>"keyPasses: "&amp;$E$9&amp;","</f>
        <v>keyPasses: 0,</v>
      </c>
      <c r="D85" t="str">
        <f>"keyPasses: "&amp;$E$24&amp;","</f>
        <v>keyPasses: 3,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2,</v>
      </c>
      <c r="I85" t="str">
        <f>"keyPasses: "&amp;$E$8&amp;","</f>
        <v>keyPasses: 1,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1,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1,</v>
      </c>
      <c r="U85" t="str">
        <f>"keyPasses: "&amp;$E$18&amp;","</f>
        <v>keyPasses: 0,</v>
      </c>
      <c r="V85" t="str">
        <f>"keyPasses: "&amp;$E$16&amp;","</f>
        <v>keyPasses: 1,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1,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1,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1,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1,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1,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1,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0,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0,</v>
      </c>
      <c r="C88" t="str">
        <f>"oneVOnes: "&amp;$I$9&amp;","</f>
        <v>oneVOnes: 0,</v>
      </c>
      <c r="D88" t="str">
        <f>"oneVOnes: "&amp;$I$24&amp;","</f>
        <v>oneVOnes: 3,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0,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2,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0,</v>
      </c>
      <c r="Q88" t="str">
        <f>"oneVOnes: "&amp;$I$10&amp;","</f>
        <v>oneVOnes: 2,</v>
      </c>
      <c r="R88" t="str">
        <f>"oneVOnes: "&amp;$I$2&amp;","</f>
        <v>oneVOnes: 0,</v>
      </c>
      <c r="S88" t="str">
        <f>"oneVOnes: "&amp;$I$19&amp;","</f>
        <v>oneVOnes: 3,</v>
      </c>
      <c r="T88" t="str">
        <f>"oneVOnes: "&amp;$I$17&amp;","</f>
        <v>oneVOnes: 0,</v>
      </c>
      <c r="U88" t="str">
        <f>"oneVOnes: "&amp;$I$18&amp;","</f>
        <v>oneVOnes: 0,</v>
      </c>
      <c r="V88" t="str">
        <f>"oneVOnes: "&amp;$I$16&amp;","</f>
        <v>oneVOnes: 2,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6,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0,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1,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2,</v>
      </c>
      <c r="R89" t="str">
        <f>"headers: "&amp;$J$2&amp;","</f>
        <v>headers: 0,</v>
      </c>
      <c r="S89" t="str">
        <f>"headers: "&amp;$J$19&amp;","</f>
        <v>headers: 0,</v>
      </c>
      <c r="T89" t="str">
        <f>"headers: "&amp;$J$17&amp;","</f>
        <v>headers: 1,</v>
      </c>
      <c r="U89" t="str">
        <f>"headers: "&amp;$J$18&amp;","</f>
        <v>headers: 0,</v>
      </c>
      <c r="V89" t="str">
        <f>"headers: "&amp;$J$16&amp;","</f>
        <v>headers: 1,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2,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0,</v>
      </c>
      <c r="E90" t="str">
        <f>"spEarned: "&amp;$K$12&amp;","</f>
        <v>spEarned: 0,</v>
      </c>
      <c r="F90" t="str">
        <f>"spEarned: "&amp;$K$22&amp;","</f>
        <v>spEarned: 1,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0,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1,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0,</v>
      </c>
      <c r="T90" t="str">
        <f>"spEarned: "&amp;$K$17&amp;","</f>
        <v>spEarned: 0,</v>
      </c>
      <c r="U90" t="str">
        <f>"spEarned: "&amp;$K$18&amp;","</f>
        <v>spEarned: 0,</v>
      </c>
      <c r="V90" t="str">
        <f>"spEarned: "&amp;$K$16&amp;","</f>
        <v>spEarned: 2,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0,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2,</v>
      </c>
      <c r="R91" t="str">
        <f>"onTargetShots: "&amp;$M$2&amp;","</f>
        <v>onTargetShots: 0,</v>
      </c>
      <c r="S91" t="str">
        <f>"onTargetShots: "&amp;$M$19&amp;","</f>
        <v>onTargetShots: 1,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0,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3,</v>
      </c>
      <c r="E92" t="str">
        <f>"offTargetShots: "&amp;$L$12&amp;","</f>
        <v>offTargetShots: 0,</v>
      </c>
      <c r="F92" t="str">
        <f>"offTargetShots: "&amp;$L$22&amp;","</f>
        <v>offTargetShots: 0,</v>
      </c>
      <c r="G92" t="str">
        <f>"offTargetShots: "&amp;$L$3&amp;","</f>
        <v>offTargetShots: 0,</v>
      </c>
      <c r="H92" t="str">
        <f>"offTargetShots: "&amp;$L$7&amp;","</f>
        <v>offTargetShots: 0,</v>
      </c>
      <c r="I92" t="str">
        <f>"offTargetShots: "&amp;$L$8&amp;","</f>
        <v>offTargetShots: 1,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0,</v>
      </c>
      <c r="R92" t="str">
        <f>"offTargetShots: "&amp;$L$2&amp;","</f>
        <v>offTargetShots: 0,</v>
      </c>
      <c r="S92" t="str">
        <f>"offTargetShots: "&amp;$L$19&amp;","</f>
        <v>offTargetShots: 0,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14,</v>
      </c>
      <c r="B96" t="str">
        <f>"totalActions: "&amp;$X$15&amp;","</f>
        <v>totalActions: 20,</v>
      </c>
      <c r="C96" t="str">
        <f>"totalActions: "&amp;$X$9&amp;","</f>
        <v>totalActions: 0,</v>
      </c>
      <c r="D96" t="str">
        <f>"totalActions: "&amp;$X$24&amp;","</f>
        <v>totalActions: 28,</v>
      </c>
      <c r="E96" t="str">
        <f>"totalActions: "&amp;$X$12&amp;","</f>
        <v>totalActions: 0,</v>
      </c>
      <c r="F96" t="str">
        <f>"totalActions: "&amp;$X$22&amp;","</f>
        <v>totalActions: 46,</v>
      </c>
      <c r="G96" t="str">
        <f>"totalActions: "&amp;$X$3&amp;","</f>
        <v>totalActions: 0,</v>
      </c>
      <c r="H96" t="str">
        <f>"totalActions: "&amp;$X$7&amp;","</f>
        <v>totalActions: 23,</v>
      </c>
      <c r="I96" t="str">
        <f>"totalActions: "&amp;$X$8&amp;","</f>
        <v>totalActions: 8,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8,</v>
      </c>
      <c r="M96" t="str">
        <f>"totalActions: "&amp;$X$21&amp;","</f>
        <v>totalActions: 20,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8,</v>
      </c>
      <c r="Q96" t="str">
        <f>"totalActions: "&amp;$X$10&amp;","</f>
        <v>totalActions: 10,</v>
      </c>
      <c r="R96" t="str">
        <f>"totalActions: "&amp;$X$2&amp;","</f>
        <v>totalActions: 2,</v>
      </c>
      <c r="S96" t="str">
        <f>"totalActions: "&amp;$X$19&amp;","</f>
        <v>totalActions: 10,</v>
      </c>
      <c r="T96" t="str">
        <f>"totalActions: "&amp;$X$17&amp;","</f>
        <v>totalActions: 23,</v>
      </c>
      <c r="U96" t="str">
        <f>"totalActions: "&amp;$X$18&amp;","</f>
        <v>totalActions: 0,</v>
      </c>
      <c r="V96" t="str">
        <f>"totalActions: "&amp;$X$16&amp;","</f>
        <v>totalActions: 6,</v>
      </c>
      <c r="W96" t="str">
        <f>"totalActions: "&amp;$X$6&amp;","</f>
        <v>totalActions: 2,</v>
      </c>
    </row>
    <row r="97" spans="1:23" x14ac:dyDescent="0.3">
      <c r="A97" t="str">
        <f>"actionsPerMinute: "&amp;TEXT($Y$4,"0.00")&amp;","</f>
        <v>actionsPerMinute: 0.17,</v>
      </c>
      <c r="B97" t="str">
        <f>"actionsPerMinute: "&amp;TEXT($Y$15,"0.00")&amp;","</f>
        <v>actionsPerMinute: 0.22,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0.32,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0.51,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0.26,</v>
      </c>
      <c r="I97" t="str">
        <f>"actionsPerMinute: "&amp;TEXT($Y$8,"0.00")&amp;","</f>
        <v>actionsPerMinute: 0.29,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0.30,</v>
      </c>
      <c r="M97" t="str">
        <f>"actionsPerMinute: "&amp;TEXT($Y$21,"0.00")&amp;","</f>
        <v>actionsPerMinute: 0.24,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0.29,</v>
      </c>
      <c r="Q97" t="str">
        <f>"actionsPerMinute: "&amp;TEXT($Y$10,"0.00")&amp;","</f>
        <v>actionsPerMinute: 0.11,</v>
      </c>
      <c r="R97" t="str">
        <f>"actionsPerMinute: "&amp;TEXT($Y$2,"0.00")&amp;","</f>
        <v>actionsPerMinute: 0.29,</v>
      </c>
      <c r="S97" t="str">
        <f>"actionsPerMinute: "&amp;TEXT($Y$19,"0.00")&amp;","</f>
        <v>actionsPerMinute: 0.13,</v>
      </c>
      <c r="T97" t="str">
        <f>"actionsPerMinute: "&amp;TEXT($Y$17,"0.00")&amp;","</f>
        <v>actionsPerMinute: 0.33,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0.11,</v>
      </c>
      <c r="W97" t="str">
        <f>"actionsPerMinute: "&amp;TEXT($Y$6,"0.00")&amp;","</f>
        <v>actionsPerMinute: 1.00,</v>
      </c>
    </row>
    <row r="98" spans="1:23" x14ac:dyDescent="0.3">
      <c r="A98" t="str">
        <f>"tackles: "&amp;$P$4&amp;","</f>
        <v>tackles: 2,</v>
      </c>
      <c r="B98" t="str">
        <f>"tackles: "&amp;$P$15&amp;","</f>
        <v>tackles: 3,</v>
      </c>
      <c r="C98" t="str">
        <f>"tackles: "&amp;$P$9&amp;","</f>
        <v>tackles: 0,</v>
      </c>
      <c r="D98" t="str">
        <f>"tackles: "&amp;$P$24&amp;","</f>
        <v>tackles: 5,</v>
      </c>
      <c r="E98" t="str">
        <f>"tackles: "&amp;$P$12&amp;","</f>
        <v>tackles: 0,</v>
      </c>
      <c r="F98" t="str">
        <f>"tackles: "&amp;$P$22&amp;","</f>
        <v>tackles: 6,</v>
      </c>
      <c r="G98" t="str">
        <f>"tackles: "&amp;$P$3&amp;","</f>
        <v>tackles: 0,</v>
      </c>
      <c r="H98" t="str">
        <f>"tackles: "&amp;$P$7&amp;","</f>
        <v>tackles: 1,</v>
      </c>
      <c r="I98" t="str">
        <f>"tackles: "&amp;$P$8&amp;","</f>
        <v>tackles: 2,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2,</v>
      </c>
      <c r="M98" t="str">
        <f>"tackles: "&amp;$P$21&amp;","</f>
        <v>tackles: 3,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1,</v>
      </c>
      <c r="Q98" t="str">
        <f>"tackles: "&amp;$P$10&amp;","</f>
        <v>tackles: 1,</v>
      </c>
      <c r="R98" t="str">
        <f>"tackles: "&amp;$P$2&amp;","</f>
        <v>tackles: 1,</v>
      </c>
      <c r="S98" t="str">
        <f>"tackles: "&amp;$P$19&amp;","</f>
        <v>tackles: 4,</v>
      </c>
      <c r="T98" t="str">
        <f>"tackles: "&amp;$P$17&amp;","</f>
        <v>tackles: 4,</v>
      </c>
      <c r="U98" t="str">
        <f>"tackles: "&amp;$P$18&amp;","</f>
        <v>tackles: 0,</v>
      </c>
      <c r="V98" t="str">
        <f>"tackles: "&amp;$P$16&amp;","</f>
        <v>tackles: 3,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1,</v>
      </c>
      <c r="B99" t="str">
        <f>"interceptions: "&amp;$Q$15&amp;","</f>
        <v>interceptions: 4,</v>
      </c>
      <c r="C99" t="str">
        <f>"interceptions: "&amp;$Q$9&amp;","</f>
        <v>interceptions: 0,</v>
      </c>
      <c r="D99" t="str">
        <f>"interceptions: "&amp;$Q$24&amp;","</f>
        <v>interceptions: 6,</v>
      </c>
      <c r="E99" t="str">
        <f>"interceptions: "&amp;$Q$12&amp;","</f>
        <v>interceptions: 0,</v>
      </c>
      <c r="F99" t="str">
        <f>"interceptions: "&amp;$Q$22&amp;","</f>
        <v>interceptions: 5,</v>
      </c>
      <c r="G99" t="str">
        <f>"interceptions: "&amp;$Q$3&amp;","</f>
        <v>interceptions: 0,</v>
      </c>
      <c r="H99" t="str">
        <f>"interceptions: "&amp;$Q$7&amp;","</f>
        <v>interceptions: 5,</v>
      </c>
      <c r="I99" t="str">
        <f>"interceptions: "&amp;$Q$8&amp;","</f>
        <v>interceptions: 1,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3,</v>
      </c>
      <c r="M99" t="str">
        <f>"interceptions: "&amp;$Q$21&amp;","</f>
        <v>interceptions: 2,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0,</v>
      </c>
      <c r="Q99" t="str">
        <f>"interceptions: "&amp;$Q$10&amp;","</f>
        <v>interceptions: 0,</v>
      </c>
      <c r="R99" t="str">
        <f>"interceptions: "&amp;$Q$2&amp;","</f>
        <v>interceptions: 0,</v>
      </c>
      <c r="S99" t="str">
        <f>"interceptions: "&amp;$Q$19&amp;","</f>
        <v>interceptions: 2,</v>
      </c>
      <c r="T99" t="str">
        <f>"interceptions: "&amp;$Q$17&amp;","</f>
        <v>interceptions: 9,</v>
      </c>
      <c r="U99" t="str">
        <f>"interceptions: "&amp;$Q$18&amp;","</f>
        <v>interceptions: 0,</v>
      </c>
      <c r="V99" t="str">
        <f>"interceptions: "&amp;$Q$16&amp;","</f>
        <v>interceptions: 1,</v>
      </c>
      <c r="W99" t="str">
        <f>"interceptions: "&amp;$Q$6&amp;","</f>
        <v>interceptions: 1,</v>
      </c>
    </row>
    <row r="100" spans="1:23" x14ac:dyDescent="0.3">
      <c r="A100" t="str">
        <f>"fhRegains: "&amp;$R$4&amp;","</f>
        <v>fhRegains: 0,</v>
      </c>
      <c r="B100" t="str">
        <f>"fhRegains: "&amp;$R$15&amp;","</f>
        <v>fhRegains: 0,</v>
      </c>
      <c r="C100" t="str">
        <f>"fhRegains: "&amp;$R$9&amp;","</f>
        <v>fhRegains: 0,</v>
      </c>
      <c r="D100" t="str">
        <f>"fhRegains: "&amp;$R$24&amp;","</f>
        <v>fhRegains: 3,</v>
      </c>
      <c r="E100" t="str">
        <f>"fhRegains: "&amp;$R$12&amp;","</f>
        <v>fhRegains: 0,</v>
      </c>
      <c r="F100" t="str">
        <f>"fhRegains: "&amp;$R$22&amp;","</f>
        <v>fhRegains: 0,</v>
      </c>
      <c r="G100" t="str">
        <f>"fhRegains: "&amp;$R$3&amp;","</f>
        <v>fhRegains: 0,</v>
      </c>
      <c r="H100" t="str">
        <f>"fhRegains: "&amp;$R$7&amp;","</f>
        <v>fhRegains: 2,</v>
      </c>
      <c r="I100" t="str">
        <f>"fhRegains: "&amp;$R$8&amp;","</f>
        <v>fhRegains: 1,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1,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1,</v>
      </c>
      <c r="R100" t="str">
        <f>"fhRegains: "&amp;$R$2&amp;","</f>
        <v>fhRegains: 0,</v>
      </c>
      <c r="S100" t="str">
        <f>"fhRegains: "&amp;$R$19&amp;","</f>
        <v>fhRegains: 0,</v>
      </c>
      <c r="T100" t="str">
        <f>"fhRegains: "&amp;$R$17&amp;","</f>
        <v>fhRegains: 0,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1,</v>
      </c>
      <c r="B101" t="str">
        <f>"blocks: "&amp;$S$15&amp;","</f>
        <v>blocks: 2,</v>
      </c>
      <c r="C101" t="str">
        <f>"blocks: "&amp;$S$9&amp;","</f>
        <v>blocks: 0,</v>
      </c>
      <c r="D101" t="str">
        <f>"blocks: "&amp;$S$24&amp;","</f>
        <v>blocks: 2,</v>
      </c>
      <c r="E101" t="str">
        <f>"blocks: "&amp;$S$12&amp;","</f>
        <v>blocks: 0,</v>
      </c>
      <c r="F101" t="str">
        <f>"blocks: "&amp;$S$22&amp;","</f>
        <v>blocks: 3,</v>
      </c>
      <c r="G101" t="str">
        <f>"blocks: "&amp;$S$3&amp;","</f>
        <v>blocks: 0,</v>
      </c>
      <c r="H101" t="str">
        <f>"blocks: "&amp;$S$7&amp;","</f>
        <v>blocks: 2,</v>
      </c>
      <c r="I101" t="str">
        <f>"blocks: "&amp;$S$8&amp;","</f>
        <v>blocks: 1,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1,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1,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2,</v>
      </c>
      <c r="B102" t="str">
        <f>"clearances: "&amp;$T$15&amp;","</f>
        <v>clearances: 3,</v>
      </c>
      <c r="C102" t="str">
        <f>"clearances: "&amp;$T$9&amp;","</f>
        <v>clearances: 0,</v>
      </c>
      <c r="D102" t="str">
        <f>"clearances: "&amp;$T$24&amp;","</f>
        <v>clearances: 2,</v>
      </c>
      <c r="E102" t="str">
        <f>"clearances: "&amp;$T$12&amp;","</f>
        <v>clearances: 0,</v>
      </c>
      <c r="F102" t="str">
        <f>"clearances: "&amp;$T$22&amp;","</f>
        <v>clearances: 8,</v>
      </c>
      <c r="G102" t="str">
        <f>"clearances: "&amp;$T$3&amp;","</f>
        <v>clearances: 0,</v>
      </c>
      <c r="H102" t="str">
        <f>"clearances: "&amp;$T$7&amp;","</f>
        <v>clearances: 2,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1,</v>
      </c>
      <c r="M102" t="str">
        <f>"clearances: "&amp;$T$21&amp;","</f>
        <v>clearances: 0,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1,</v>
      </c>
      <c r="Q102" t="str">
        <f>"clearances: "&amp;$T$10&amp;","</f>
        <v>clearances: 4,</v>
      </c>
      <c r="R102" t="str">
        <f>"clearances: "&amp;$T$2&amp;","</f>
        <v>clearances: 0,</v>
      </c>
      <c r="S102" t="str">
        <f>"clearances: "&amp;$T$19&amp;","</f>
        <v>clearances: 2,</v>
      </c>
      <c r="T102" t="str">
        <f>"clearances: "&amp;$T$17&amp;","</f>
        <v>clearances: 3,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0,</v>
      </c>
      <c r="C103" t="str">
        <f>"separations: "&amp;$U$9&amp;","</f>
        <v>separations: 0,</v>
      </c>
      <c r="D103" t="str">
        <f>"separations: "&amp;$U$24&amp;","</f>
        <v>separations: 3,</v>
      </c>
      <c r="E103" t="str">
        <f>"separations: "&amp;$U$12&amp;","</f>
        <v>separations: 0,</v>
      </c>
      <c r="F103" t="str">
        <f>"separations: "&amp;$U$22&amp;","</f>
        <v>separations: 3,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1,</v>
      </c>
      <c r="M103" t="str">
        <f>"separations: "&amp;$U$21&amp;","</f>
        <v>separations: 0,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3,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2,</v>
      </c>
      <c r="B104" t="str">
        <f>"headers: "&amp;$V$15&amp;","</f>
        <v>headers: 4,</v>
      </c>
      <c r="C104" t="str">
        <f>"headers: "&amp;$V$9&amp;","</f>
        <v>headers: 0,</v>
      </c>
      <c r="D104" t="str">
        <f>"headers: "&amp;$V$24&amp;","</f>
        <v>headers: 0,</v>
      </c>
      <c r="E104" t="str">
        <f>"headers: "&amp;$V$12&amp;","</f>
        <v>headers: 0,</v>
      </c>
      <c r="F104" t="str">
        <f>"headers: "&amp;$V$22&amp;","</f>
        <v>headers: 20,</v>
      </c>
      <c r="G104" t="str">
        <f>"headers: "&amp;$V$3&amp;","</f>
        <v>headers: 0,</v>
      </c>
      <c r="H104" t="str">
        <f>"headers: "&amp;$V$7&amp;","</f>
        <v>headers: 8,</v>
      </c>
      <c r="I104" t="str">
        <f>"headers: "&amp;$V$8&amp;","</f>
        <v>headers: 2,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0,</v>
      </c>
      <c r="M104" t="str">
        <f>"headers: "&amp;$V$21&amp;","</f>
        <v>headers: 2,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3,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6,</v>
      </c>
      <c r="B105" t="str">
        <f>"stopForwardCA: "&amp;$W$15&amp;","</f>
        <v>stopForwardCA: 4,</v>
      </c>
      <c r="C105" t="str">
        <f>"stopForwardCA: "&amp;$W$9&amp;","</f>
        <v>stopForwardCA: 0,</v>
      </c>
      <c r="D105" t="str">
        <f>"stopForwardCA: "&amp;$W$24&amp;","</f>
        <v>stopForwardCA: 7,</v>
      </c>
      <c r="E105" t="str">
        <f>"stopForwardCA: "&amp;$W$12&amp;","</f>
        <v>stopForwardCA: 0,</v>
      </c>
      <c r="F105" t="str">
        <f>"stopForwardCA: "&amp;$W$22&amp;","</f>
        <v>stopForwardCA: 1,</v>
      </c>
      <c r="G105" t="str">
        <f>"stopForwardCA: "&amp;$W$3&amp;","</f>
        <v>stopForwardCA: 0,</v>
      </c>
      <c r="H105" t="str">
        <f>"stopForwardCA: "&amp;$W$7&amp;","</f>
        <v>stopForwardCA: 3,</v>
      </c>
      <c r="I105" t="str">
        <f>"stopForwardCA: "&amp;$W$8&amp;","</f>
        <v>stopForwardCA: 1,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0,</v>
      </c>
      <c r="M105" t="str">
        <f>"stopForwardCA: "&amp;$W$21&amp;","</f>
        <v>stopForwardCA: 11,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3,</v>
      </c>
      <c r="Q105" t="str">
        <f>"stopForwardCA: "&amp;$W$10&amp;","</f>
        <v>stopForwardCA: 3,</v>
      </c>
      <c r="R105" t="str">
        <f>"stopForwardCA: "&amp;$W$2&amp;","</f>
        <v>stopForwardCA: 1,</v>
      </c>
      <c r="S105" t="str">
        <f>"stopForwardCA: "&amp;$W$19&amp;","</f>
        <v>stopForwardCA: 2,</v>
      </c>
      <c r="T105" t="str">
        <f>"stopForwardCA: "&amp;$W$17&amp;","</f>
        <v>stopForwardCA: 4,</v>
      </c>
      <c r="U105" t="str">
        <f>"stopForwardCA: "&amp;$W$18&amp;","</f>
        <v>stopForwardCA: 0,</v>
      </c>
      <c r="V105" t="str">
        <f>"stopForwardCA: "&amp;$W$16&amp;","</f>
        <v>stopForwardCA: 2,</v>
      </c>
      <c r="W105" t="str">
        <f>"stopForwardCA: "&amp;$W$6&amp;","</f>
        <v>stopForwardCA: 1,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84,</v>
      </c>
      <c r="B109" t="str">
        <f>"minutes: "&amp;B$15&amp;","</f>
        <v>minutes: 90,</v>
      </c>
      <c r="C109" t="str">
        <f>"minutes: "&amp;B$9&amp;","</f>
        <v>minutes: 0,</v>
      </c>
      <c r="D109" t="str">
        <f>"minutes: "&amp;B$24&amp;","</f>
        <v>minutes: 88,</v>
      </c>
      <c r="E109" t="str">
        <f>"minutes: "&amp;B$12&amp;","</f>
        <v>minutes: 0,</v>
      </c>
      <c r="F109" t="str">
        <f>"minutes: "&amp;B$22&amp;","</f>
        <v>minutes: 90,</v>
      </c>
      <c r="G109" t="str">
        <f>"minutes: "&amp;B$3&amp;","</f>
        <v>minutes: 0,</v>
      </c>
      <c r="H109" t="str">
        <f>"minutes: "&amp;B$7&amp;","</f>
        <v>minutes: 90,</v>
      </c>
      <c r="I109" t="str">
        <f>"minutes: "&amp;B$8&amp;","</f>
        <v>minutes: 28,</v>
      </c>
      <c r="J109" t="str">
        <f>"minutes: "&amp;B$23&amp;","</f>
        <v>minutes: 2,</v>
      </c>
      <c r="K109" t="str">
        <f>"minutes: "&amp;B$20&amp;","</f>
        <v>minutes: 0,</v>
      </c>
      <c r="L109" t="str">
        <f>"minutes: "&amp;B$14&amp;","</f>
        <v>minutes: 27,</v>
      </c>
      <c r="M109" t="str">
        <f>"minutes: "&amp;B$21&amp;","</f>
        <v>minutes: 83,</v>
      </c>
      <c r="N109" t="str">
        <f>"minutes: "&amp;B$11&amp;","</f>
        <v>minutes: 0,</v>
      </c>
      <c r="O109" t="str">
        <f>"minutes: "&amp;B$13&amp;","</f>
        <v>minutes: 2,</v>
      </c>
      <c r="P109" t="str">
        <f>"minutes: "&amp;B$5&amp;","</f>
        <v>minutes: 28,</v>
      </c>
      <c r="Q109" t="str">
        <f>"minutes: "&amp;B$10&amp;","</f>
        <v>minutes: 88,</v>
      </c>
      <c r="R109" t="str">
        <f>"minutes: "&amp;B$2&amp;","</f>
        <v>minutes: 7,</v>
      </c>
      <c r="S109" t="str">
        <f>"minutes: "&amp;B$19&amp;","</f>
        <v>minutes: 76,</v>
      </c>
      <c r="T109" t="str">
        <f>"minutes: "&amp;B$17&amp;","</f>
        <v>minutes: 70,</v>
      </c>
      <c r="U109" t="str">
        <f>"minutes: "&amp;B$18&amp;","</f>
        <v>minutes: 0,</v>
      </c>
      <c r="V109" t="str">
        <f>"minutes: "&amp;B$16&amp;","</f>
        <v>minutes: 56,</v>
      </c>
      <c r="W109" t="str">
        <f>"minutes: "&amp;B$6&amp;","</f>
        <v>minutes: 2,</v>
      </c>
    </row>
    <row r="110" spans="1:23" x14ac:dyDescent="0.3">
      <c r="A110" t="str">
        <f>"goals: "&amp;$C$4&amp;","</f>
        <v>goals: 1,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1,</v>
      </c>
      <c r="R110" t="str">
        <f>"goals: "&amp;$C$2&amp;","</f>
        <v>goals: 0,</v>
      </c>
      <c r="S110" t="str">
        <f>"goals: "&amp;$C$19&amp;","</f>
        <v>goals: 1,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1,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1,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1,</v>
      </c>
      <c r="B112" t="str">
        <f>"keyPasses: "&amp;$E$15&amp;","</f>
        <v>keyPasses: 1,</v>
      </c>
      <c r="C112" t="str">
        <f>"keyPasses: "&amp;$E$9&amp;","</f>
        <v>keyPasses: 0,</v>
      </c>
      <c r="D112" t="str">
        <f>"keyPasses: "&amp;$E$24&amp;","</f>
        <v>keyPasses: 3,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2,</v>
      </c>
      <c r="I112" t="str">
        <f>"keyPasses: "&amp;$E$8&amp;","</f>
        <v>keyPasses: 1,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1,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1,</v>
      </c>
      <c r="U112" t="str">
        <f>"keyPasses: "&amp;$E$18&amp;","</f>
        <v>keyPasses: 0,</v>
      </c>
      <c r="V112" t="str">
        <f>"keyPasses: "&amp;$E$16&amp;","</f>
        <v>keyPasses: 1,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1,</v>
      </c>
      <c r="B113" t="str">
        <f>"startCA: "&amp;$F$15&amp;","</f>
        <v>startCA: 2,</v>
      </c>
      <c r="C113" t="str">
        <f>"startCA: "&amp;$F$9&amp;","</f>
        <v>startCA: 0,</v>
      </c>
      <c r="D113" t="str">
        <f>"startCA: "&amp;$F$24&amp;","</f>
        <v>startCA: 7,</v>
      </c>
      <c r="E113" t="str">
        <f>"startCA: "&amp;$F$12&amp;","</f>
        <v>startCA: 0,</v>
      </c>
      <c r="F113" t="str">
        <f>"startCA: "&amp;$F$22&amp;","</f>
        <v>startCA: 3,</v>
      </c>
      <c r="G113" t="str">
        <f>"startCA: "&amp;$F$3&amp;","</f>
        <v>startCA: 0,</v>
      </c>
      <c r="H113" t="str">
        <f>"startCA: "&amp;$F$7&amp;","</f>
        <v>startCA: 5,</v>
      </c>
      <c r="I113" t="str">
        <f>"startCA: "&amp;$F$8&amp;","</f>
        <v>startCA: 1,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3,</v>
      </c>
      <c r="M113" t="str">
        <f>"startCA: "&amp;$F$21&amp;","</f>
        <v>startCA: 0,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0,</v>
      </c>
      <c r="Q113" t="str">
        <f>"startCA: "&amp;$F$10&amp;","</f>
        <v>startCA: 1,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8,</v>
      </c>
      <c r="U113" t="str">
        <f>"startCA: "&amp;$F$18&amp;","</f>
        <v>startCA: 0,</v>
      </c>
      <c r="V113" t="str">
        <f>"startCA: "&amp;$F$16&amp;","</f>
        <v>startCA: 2,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1,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1,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1,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1,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1,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1,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0,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0,</v>
      </c>
      <c r="C116" t="str">
        <f>"oneVones: "&amp;$I$9&amp;","</f>
        <v>oneVones: 0,</v>
      </c>
      <c r="D116" t="str">
        <f>"oneVones: "&amp;$I$24&amp;","</f>
        <v>oneVones: 3,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0,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2,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0,</v>
      </c>
      <c r="Q116" t="str">
        <f>"oneVones: "&amp;$I$10&amp;","</f>
        <v>oneVones: 2,</v>
      </c>
      <c r="R116" t="str">
        <f>"oneVones: "&amp;$I$2&amp;","</f>
        <v>oneVones: 0,</v>
      </c>
      <c r="S116" t="str">
        <f>"oneVones: "&amp;$I$19&amp;","</f>
        <v>oneVones: 3,</v>
      </c>
      <c r="T116" t="str">
        <f>"oneVones: "&amp;$I$17&amp;","</f>
        <v>oneVones: 0,</v>
      </c>
      <c r="U116" t="str">
        <f>"oneVones: "&amp;$I$18&amp;","</f>
        <v>oneVones: 0,</v>
      </c>
      <c r="V116" t="str">
        <f>"oneVones: "&amp;$I$16&amp;","</f>
        <v>oneVones: 2,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6,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0,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1,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2,</v>
      </c>
      <c r="R117" t="str">
        <f>"attHeaders: "&amp;$J$2&amp;","</f>
        <v>attHeaders: 0,</v>
      </c>
      <c r="S117" t="str">
        <f>"attHeaders: "&amp;$J$19&amp;","</f>
        <v>attHeaders: 0,</v>
      </c>
      <c r="T117" t="str">
        <f>"attHeaders: "&amp;$J$17&amp;","</f>
        <v>attHeaders: 1,</v>
      </c>
      <c r="U117" t="str">
        <f>"attHeaders: "&amp;$J$18&amp;","</f>
        <v>attHeaders: 0,</v>
      </c>
      <c r="V117" t="str">
        <f>"attHeaders: "&amp;$J$16&amp;","</f>
        <v>attHeaders: 1,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2,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0,</v>
      </c>
      <c r="E118" t="str">
        <f>"spEarned: "&amp;$K$12&amp;","</f>
        <v>spEarned: 0,</v>
      </c>
      <c r="F118" t="str">
        <f>"spEarned: "&amp;$K$22&amp;","</f>
        <v>spEarned: 1,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0,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1,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0,</v>
      </c>
      <c r="T118" t="str">
        <f>"spEarned: "&amp;$K$17&amp;","</f>
        <v>spEarned: 0,</v>
      </c>
      <c r="U118" t="str">
        <f>"spEarned: "&amp;$K$18&amp;","</f>
        <v>spEarned: 0,</v>
      </c>
      <c r="V118" t="str">
        <f>"spEarned: "&amp;$K$16&amp;","</f>
        <v>spEarned: 2,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0,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3,</v>
      </c>
      <c r="E119" t="str">
        <f>"offTargetShots: "&amp;$L$12&amp;","</f>
        <v>offTargetShots: 0,</v>
      </c>
      <c r="F119" t="str">
        <f>"offTargetShots: "&amp;$L$22&amp;","</f>
        <v>offTargetShots: 0,</v>
      </c>
      <c r="G119" t="str">
        <f>"offTargetShots: "&amp;$L$3&amp;","</f>
        <v>offTargetShots: 0,</v>
      </c>
      <c r="H119" t="str">
        <f>"offTargetShots: "&amp;$L$7&amp;","</f>
        <v>offTargetShots: 0,</v>
      </c>
      <c r="I119" t="str">
        <f>"offTargetShots: "&amp;$L$8&amp;","</f>
        <v>offTargetShots: 1,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0,</v>
      </c>
      <c r="R119" t="str">
        <f>"offTargetShots: "&amp;$L$2&amp;","</f>
        <v>offTargetShots: 0,</v>
      </c>
      <c r="S119" t="str">
        <f>"offTargetShots: "&amp;$L$19&amp;","</f>
        <v>offTargetShots: 0,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0,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2,</v>
      </c>
      <c r="R120" t="str">
        <f>"onTargetShots: "&amp;$M$2&amp;","</f>
        <v>onTargetShots: 0,</v>
      </c>
      <c r="S120" t="str">
        <f>"onTargetShots: "&amp;$M$19&amp;","</f>
        <v>onTargetShots: 1,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0.17,</v>
      </c>
      <c r="B121" t="str">
        <f>"totalOffActMin: "&amp;TEXT($O$15,"0.00")&amp;","</f>
        <v>totalOffActMin: 0.04,</v>
      </c>
      <c r="C121" t="str">
        <f>"totalOffActMin: "&amp;TEXT($O$9,"0.00")&amp;","</f>
        <v>totalOffActMin: 0.00,</v>
      </c>
      <c r="D121" t="str">
        <f>"totalOffActMin: "&amp;TEXT($O$24,"0.00")&amp;","</f>
        <v>totalOffActMin: 0.19,</v>
      </c>
      <c r="E121" t="str">
        <f>"totalOffActMin: "&amp;TEXT($O$12,"0.00")&amp;","</f>
        <v>totalOffActMin: 0.00,</v>
      </c>
      <c r="F121" t="str">
        <f>"totalOffActMin: "&amp;TEXT($O$22,"0.00")&amp;","</f>
        <v>totalOffActMin: 0.06,</v>
      </c>
      <c r="G121" t="str">
        <f>"totalOffActMin: "&amp;TEXT($O$3,"0.00")&amp;","</f>
        <v>totalOffActMin: 0.00,</v>
      </c>
      <c r="H121" t="str">
        <f>"totalOffActMin: "&amp;TEXT($O$7,"0.00")&amp;","</f>
        <v>totalOffActMin: 0.09,</v>
      </c>
      <c r="I121" t="str">
        <f>"totalOffActMin: "&amp;TEXT($O$8,"0.00")&amp;","</f>
        <v>totalOffActMin: 0.14,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0.15,</v>
      </c>
      <c r="M121" t="str">
        <f>"totalOffActMin: "&amp;TEXT($O$21,"0.00")&amp;","</f>
        <v>totalOffActMin: 0.04,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0.11,</v>
      </c>
      <c r="Q121" t="str">
        <f>"totalOffActMin: "&amp;TEXT($O$10,"0.00")&amp;","</f>
        <v>totalOffActMin: 0.10,</v>
      </c>
      <c r="R121" t="str">
        <f>"totalOffActMin: "&amp;TEXT($O$2,"0.00")&amp;","</f>
        <v>totalOffActMin: 0.00,</v>
      </c>
      <c r="S121" t="str">
        <f>"totalOffActMin: "&amp;TEXT($O$19,"0.00")&amp;","</f>
        <v>totalOffActMin: 0.08,</v>
      </c>
      <c r="T121" t="str">
        <f>"totalOffActMin: "&amp;TEXT($O$17,"0.00")&amp;","</f>
        <v>totalOffActMin: 0.14,</v>
      </c>
      <c r="U121" t="str">
        <f>"totalOffActMin: "&amp;TEXT($O$18,"0.00")&amp;","</f>
        <v>totalOffActMin: 0.00,</v>
      </c>
      <c r="V121" t="str">
        <f>"totalOffActMin: "&amp;TEXT($O$16,"0.00")&amp;","</f>
        <v>totalOffActMin: 0.14,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2,</v>
      </c>
      <c r="B122" t="str">
        <f>"tackles: "&amp;$P$15&amp;","</f>
        <v>tackles: 3,</v>
      </c>
      <c r="C122" t="str">
        <f>"tackles: "&amp;$P$9&amp;","</f>
        <v>tackles: 0,</v>
      </c>
      <c r="D122" t="str">
        <f>"tackles: "&amp;$P$24&amp;","</f>
        <v>tackles: 5,</v>
      </c>
      <c r="E122" t="str">
        <f>"tackles: "&amp;$P$12&amp;","</f>
        <v>tackles: 0,</v>
      </c>
      <c r="F122" t="str">
        <f>"tackles: "&amp;$P$22&amp;","</f>
        <v>tackles: 6,</v>
      </c>
      <c r="G122" t="str">
        <f>"tackles: "&amp;$P$3&amp;","</f>
        <v>tackles: 0,</v>
      </c>
      <c r="H122" t="str">
        <f>"tackles: "&amp;$P$7&amp;","</f>
        <v>tackles: 1,</v>
      </c>
      <c r="I122" t="str">
        <f>"tackles: "&amp;$P$8&amp;","</f>
        <v>tackles: 2,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2,</v>
      </c>
      <c r="M122" t="str">
        <f>"tackles: "&amp;$P$21&amp;","</f>
        <v>tackles: 3,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1,</v>
      </c>
      <c r="Q122" t="str">
        <f>"tackles: "&amp;$P$10&amp;","</f>
        <v>tackles: 1,</v>
      </c>
      <c r="R122" t="str">
        <f>"tackles: "&amp;$P$2&amp;","</f>
        <v>tackles: 1,</v>
      </c>
      <c r="S122" t="str">
        <f>"tackles: "&amp;$P$19&amp;","</f>
        <v>tackles: 4,</v>
      </c>
      <c r="T122" t="str">
        <f>"tackles: "&amp;$P$17&amp;","</f>
        <v>tackles: 4,</v>
      </c>
      <c r="U122" t="str">
        <f>"tackles: "&amp;$P$18&amp;","</f>
        <v>tackles: 0,</v>
      </c>
      <c r="V122" t="str">
        <f>"tackles: "&amp;$P$16&amp;","</f>
        <v>tackles: 3,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1,</v>
      </c>
      <c r="B123" t="str">
        <f>"interceptions: "&amp;$Q$15&amp;","</f>
        <v>interceptions: 4,</v>
      </c>
      <c r="C123" t="str">
        <f>"interceptions: "&amp;$Q$9&amp;","</f>
        <v>interceptions: 0,</v>
      </c>
      <c r="D123" t="str">
        <f>"interceptions: "&amp;$Q$24&amp;","</f>
        <v>interceptions: 6,</v>
      </c>
      <c r="E123" t="str">
        <f>"interceptions: "&amp;$Q$12&amp;","</f>
        <v>interceptions: 0,</v>
      </c>
      <c r="F123" t="str">
        <f>"interceptions: "&amp;$Q$22&amp;","</f>
        <v>interceptions: 5,</v>
      </c>
      <c r="G123" t="str">
        <f>"interceptions: "&amp;$Q$3&amp;","</f>
        <v>interceptions: 0,</v>
      </c>
      <c r="H123" t="str">
        <f>"interceptions: "&amp;$Q$7&amp;","</f>
        <v>interceptions: 5,</v>
      </c>
      <c r="I123" t="str">
        <f>"interceptions: "&amp;$Q$8&amp;","</f>
        <v>interceptions: 1,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3,</v>
      </c>
      <c r="M123" t="str">
        <f>"interceptions: "&amp;$Q$21&amp;","</f>
        <v>interceptions: 2,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0,</v>
      </c>
      <c r="Q123" t="str">
        <f>"interceptions: "&amp;$Q$10&amp;","</f>
        <v>interceptions: 0,</v>
      </c>
      <c r="R123" t="str">
        <f>"interceptions: "&amp;$Q$2&amp;","</f>
        <v>interceptions: 0,</v>
      </c>
      <c r="S123" t="str">
        <f>"interceptions: "&amp;$Q$19&amp;","</f>
        <v>interceptions: 2,</v>
      </c>
      <c r="T123" t="str">
        <f>"interceptions: "&amp;$Q$17&amp;","</f>
        <v>interceptions: 9,</v>
      </c>
      <c r="U123" t="str">
        <f>"interceptions: "&amp;$Q$18&amp;","</f>
        <v>interceptions: 0,</v>
      </c>
      <c r="V123" t="str">
        <f>"interceptions: "&amp;$Q$16&amp;","</f>
        <v>interceptions: 1,</v>
      </c>
      <c r="W123" t="str">
        <f>"interceptions: "&amp;$Q$6&amp;","</f>
        <v>interceptions: 1,</v>
      </c>
    </row>
    <row r="124" spans="1:23" x14ac:dyDescent="0.3">
      <c r="A124" t="str">
        <f>"fhRegains: "&amp;$R$4&amp;","</f>
        <v>fhRegains: 0,</v>
      </c>
      <c r="B124" t="str">
        <f>"fhRegains: "&amp;$R$15&amp;","</f>
        <v>fhRegains: 0,</v>
      </c>
      <c r="C124" t="str">
        <f>"fhRegains: "&amp;$R$9&amp;","</f>
        <v>fhRegains: 0,</v>
      </c>
      <c r="D124" t="str">
        <f>"fhRegains: "&amp;$R$24&amp;","</f>
        <v>fhRegains: 3,</v>
      </c>
      <c r="E124" t="str">
        <f>"fhRegains: "&amp;$R$12&amp;","</f>
        <v>fhRegains: 0,</v>
      </c>
      <c r="F124" t="str">
        <f>"fhRegains: "&amp;$R$22&amp;","</f>
        <v>fhRegains: 0,</v>
      </c>
      <c r="G124" t="str">
        <f>"fhRegains: "&amp;$R$3&amp;","</f>
        <v>fhRegains: 0,</v>
      </c>
      <c r="H124" t="str">
        <f>"fhRegains: "&amp;$R$7&amp;","</f>
        <v>fhRegains: 2,</v>
      </c>
      <c r="I124" t="str">
        <f>"fhRegains: "&amp;$R$8&amp;","</f>
        <v>fhRegains: 1,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1,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1,</v>
      </c>
      <c r="R124" t="str">
        <f>"fhRegains: "&amp;$R$2&amp;","</f>
        <v>fhRegains: 0,</v>
      </c>
      <c r="S124" t="str">
        <f>"fhRegains: "&amp;$R$19&amp;","</f>
        <v>fhRegains: 0,</v>
      </c>
      <c r="T124" t="str">
        <f>"fhRegains: "&amp;$R$17&amp;","</f>
        <v>fhRegains: 0,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1,</v>
      </c>
      <c r="B125" t="str">
        <f>"blocks: "&amp;$S$15&amp;","</f>
        <v>blocks: 2,</v>
      </c>
      <c r="C125" t="str">
        <f>"blocks: "&amp;$S$9&amp;","</f>
        <v>blocks: 0,</v>
      </c>
      <c r="D125" t="str">
        <f>"blocks: "&amp;$S$24&amp;","</f>
        <v>blocks: 2,</v>
      </c>
      <c r="E125" t="str">
        <f>"blocks: "&amp;$S$12&amp;","</f>
        <v>blocks: 0,</v>
      </c>
      <c r="F125" t="str">
        <f>"blocks: "&amp;$S$22&amp;","</f>
        <v>blocks: 3,</v>
      </c>
      <c r="G125" t="str">
        <f>"blocks: "&amp;$S$3&amp;","</f>
        <v>blocks: 0,</v>
      </c>
      <c r="H125" t="str">
        <f>"blocks: "&amp;$S$7&amp;","</f>
        <v>blocks: 2,</v>
      </c>
      <c r="I125" t="str">
        <f>"blocks: "&amp;$S$8&amp;","</f>
        <v>blocks: 1,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1,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1,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2,</v>
      </c>
      <c r="B126" t="str">
        <f>"clearances: "&amp;$T$15&amp;","</f>
        <v>clearances: 3,</v>
      </c>
      <c r="C126" t="str">
        <f>"clearances: "&amp;$T$9&amp;","</f>
        <v>clearances: 0,</v>
      </c>
      <c r="D126" t="str">
        <f>"clearances: "&amp;$T$24&amp;","</f>
        <v>clearances: 2,</v>
      </c>
      <c r="E126" t="str">
        <f>"clearances: "&amp;$T$12&amp;","</f>
        <v>clearances: 0,</v>
      </c>
      <c r="F126" t="str">
        <f>"clearances: "&amp;$T$22&amp;","</f>
        <v>clearances: 8,</v>
      </c>
      <c r="G126" t="str">
        <f>"clearances: "&amp;$T$3&amp;","</f>
        <v>clearances: 0,</v>
      </c>
      <c r="H126" t="str">
        <f>"clearances: "&amp;$T$7&amp;","</f>
        <v>clearances: 2,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1,</v>
      </c>
      <c r="M126" t="str">
        <f>"clearances: "&amp;$T$21&amp;","</f>
        <v>clearances: 0,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1,</v>
      </c>
      <c r="Q126" t="str">
        <f>"clearances: "&amp;$T$10&amp;","</f>
        <v>clearances: 4,</v>
      </c>
      <c r="R126" t="str">
        <f>"clearances: "&amp;$T$2&amp;","</f>
        <v>clearances: 0,</v>
      </c>
      <c r="S126" t="str">
        <f>"clearances: "&amp;$T$19&amp;","</f>
        <v>clearances: 2,</v>
      </c>
      <c r="T126" t="str">
        <f>"clearances: "&amp;$T$17&amp;","</f>
        <v>clearances: 3,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0,</v>
      </c>
      <c r="C127" t="str">
        <f>"separations: "&amp;$U$9&amp;","</f>
        <v>separations: 0,</v>
      </c>
      <c r="D127" t="str">
        <f>"separations: "&amp;$U$24&amp;","</f>
        <v>separations: 3,</v>
      </c>
      <c r="E127" t="str">
        <f>"separations: "&amp;$U$12&amp;","</f>
        <v>separations: 0,</v>
      </c>
      <c r="F127" t="str">
        <f>"separations: "&amp;$U$22&amp;","</f>
        <v>separations: 3,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1,</v>
      </c>
      <c r="M127" t="str">
        <f>"separations: "&amp;$U$21&amp;","</f>
        <v>separations: 0,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3,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2,</v>
      </c>
      <c r="B128" t="str">
        <f>"headers: "&amp;$V$15&amp;","</f>
        <v>headers: 4,</v>
      </c>
      <c r="C128" t="str">
        <f>"headers: "&amp;$V$9&amp;","</f>
        <v>headers: 0,</v>
      </c>
      <c r="D128" t="str">
        <f>"headers: "&amp;$V$24&amp;","</f>
        <v>headers: 0,</v>
      </c>
      <c r="E128" t="str">
        <f>"headers: "&amp;$V$12&amp;","</f>
        <v>headers: 0,</v>
      </c>
      <c r="F128" t="str">
        <f>"headers: "&amp;$V$22&amp;","</f>
        <v>headers: 20,</v>
      </c>
      <c r="G128" t="str">
        <f>"headers: "&amp;$V$3&amp;","</f>
        <v>headers: 0,</v>
      </c>
      <c r="H128" t="str">
        <f>"headers: "&amp;$V$7&amp;","</f>
        <v>headers: 8,</v>
      </c>
      <c r="I128" t="str">
        <f>"headers: "&amp;$V$8&amp;","</f>
        <v>headers: 2,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0,</v>
      </c>
      <c r="M128" t="str">
        <f>"headers: "&amp;$V$21&amp;","</f>
        <v>headers: 2,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3,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6,</v>
      </c>
      <c r="B129" t="str">
        <f>"stopFwdCA: "&amp;$W$15&amp;","</f>
        <v>stopFwdCA: 4,</v>
      </c>
      <c r="C129" t="str">
        <f>"stopFwdCA: "&amp;$W$9&amp;","</f>
        <v>stopFwdCA: 0,</v>
      </c>
      <c r="D129" t="str">
        <f>"stopFwdCA: "&amp;$W$24&amp;","</f>
        <v>stopFwdCA: 7,</v>
      </c>
      <c r="E129" t="str">
        <f>"stopFwdCA: "&amp;$W$12&amp;","</f>
        <v>stopFwdCA: 0,</v>
      </c>
      <c r="F129" t="str">
        <f>"stopFwdCA: "&amp;$W$22&amp;","</f>
        <v>stopFwdCA: 1,</v>
      </c>
      <c r="G129" t="str">
        <f>"stopFwdCA: "&amp;$W$3&amp;","</f>
        <v>stopFwdCA: 0,</v>
      </c>
      <c r="H129" t="str">
        <f>"stopFwdCA: "&amp;$W$7&amp;","</f>
        <v>stopFwdCA: 3,</v>
      </c>
      <c r="I129" t="str">
        <f>"stopFwdCA: "&amp;$W$8&amp;","</f>
        <v>stopFwdCA: 1,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0,</v>
      </c>
      <c r="M129" t="str">
        <f>"stopFwdCA: "&amp;$W$21&amp;","</f>
        <v>stopFwdCA: 11,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3,</v>
      </c>
      <c r="Q129" t="str">
        <f>"stopFwdCA: "&amp;$W$10&amp;","</f>
        <v>stopFwdCA: 3,</v>
      </c>
      <c r="R129" t="str">
        <f>"stopFwdCA: "&amp;$W$2&amp;","</f>
        <v>stopFwdCA: 1,</v>
      </c>
      <c r="S129" t="str">
        <f>"stopFwdCA: "&amp;$W$19&amp;","</f>
        <v>stopFwdCA: 2,</v>
      </c>
      <c r="T129" t="str">
        <f>"stopFwdCA: "&amp;$W$17&amp;","</f>
        <v>stopFwdCA: 4,</v>
      </c>
      <c r="U129" t="str">
        <f>"stopFwdCA: "&amp;$W$18&amp;","</f>
        <v>stopFwdCA: 0,</v>
      </c>
      <c r="V129" t="str">
        <f>"stopFwdCA: "&amp;$W$16&amp;","</f>
        <v>stopFwdCA: 2,</v>
      </c>
      <c r="W129" t="str">
        <f>"stopFwdCA: "&amp;$W$6&amp;","</f>
        <v>stopFwdCA: 1,</v>
      </c>
    </row>
    <row r="130" spans="1:23" x14ac:dyDescent="0.3">
      <c r="A130" t="str">
        <f>"totalDefActMin: "&amp;TEXT($Y$4,"0.00")&amp;","</f>
        <v>totalDefActMin: 0.17,</v>
      </c>
      <c r="B130" t="str">
        <f>"totalDefActMin: "&amp;TEXT($Y$15,"0.00")&amp;","</f>
        <v>totalDefActMin: 0.22,</v>
      </c>
      <c r="C130" t="str">
        <f>"totalDefActMin: "&amp;TEXT($Y$9,"0.00")&amp;","</f>
        <v>totalDefActMin: 0.00,</v>
      </c>
      <c r="D130" t="str">
        <f>"totalDefActMin: "&amp;TEXT($Y$24,"0.00")&amp;","</f>
        <v>totalDefActMin: 0.32,</v>
      </c>
      <c r="E130" t="str">
        <f>"totalDefActMin: "&amp;TEXT($Y$12,"0.00")&amp;","</f>
        <v>totalDefActMin: 0.00,</v>
      </c>
      <c r="F130" t="str">
        <f>"totalDefActMin: "&amp;TEXT($Y$22,"0.00")&amp;","</f>
        <v>totalDefActMin: 0.51,</v>
      </c>
      <c r="G130" t="str">
        <f>"totalDefActMin: "&amp;TEXT($Y$3,"0.00")&amp;","</f>
        <v>totalDefActMin: 0.00,</v>
      </c>
      <c r="H130" t="str">
        <f>"totalDefActMin: "&amp;TEXT($Y$7,"0.00")&amp;","</f>
        <v>totalDefActMin: 0.26,</v>
      </c>
      <c r="I130" t="str">
        <f>"totalDefActMin: "&amp;TEXT($Y$8,"0.00")&amp;","</f>
        <v>totalDefActMin: 0.29,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0.30,</v>
      </c>
      <c r="M130" t="str">
        <f>"totalDefActMin: "&amp;TEXT($Y$21,"0.00")&amp;","</f>
        <v>totalDefActMin: 0.24,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0.29,</v>
      </c>
      <c r="Q130" t="str">
        <f>"totalDefActMin: "&amp;TEXT($Y$10,"0.00")&amp;","</f>
        <v>totalDefActMin: 0.11,</v>
      </c>
      <c r="R130" t="str">
        <f>"totalDefActMin: "&amp;TEXT($Y$2,"0.00")&amp;","</f>
        <v>totalDefActMin: 0.29,</v>
      </c>
      <c r="S130" t="str">
        <f>"totalDefActMin: "&amp;TEXT($Y$19,"0.00")&amp;","</f>
        <v>totalDefActMin: 0.13,</v>
      </c>
      <c r="T130" t="str">
        <f>"totalDefActMin: "&amp;TEXT($Y$17,"0.00")&amp;","</f>
        <v>totalDefActMin: 0.33,</v>
      </c>
      <c r="U130" t="str">
        <f>"totalDefActMin: "&amp;TEXT($Y$18,"0.00")&amp;","</f>
        <v>totalDefActMin: 0.00,</v>
      </c>
      <c r="V130" t="str">
        <f>"totalDefActMin: "&amp;TEXT($Y$16,"0.00")&amp;","</f>
        <v>totalDefActMin: 0.11,</v>
      </c>
      <c r="W130" t="str">
        <f>"totalDefActMin: "&amp;TEXT($Y$6,"0.00")&amp;","</f>
        <v>totalDefActMin: 1.00,</v>
      </c>
    </row>
    <row r="131" spans="1:23" x14ac:dyDescent="0.3">
      <c r="A131" t="str">
        <f>"totalActions: "&amp;$Z$4&amp;","</f>
        <v>totalActions: 28,</v>
      </c>
      <c r="B131" t="str">
        <f t="shared" ref="B131" si="4">"totalActions: "&amp;$Z$4&amp;","</f>
        <v>totalActions: 28,</v>
      </c>
      <c r="C131" t="str">
        <f>"totalActions: "&amp;$Z$9&amp;","</f>
        <v>totalActions: 0,</v>
      </c>
      <c r="D131" t="str">
        <f>"totalActions: "&amp;$Z$24&amp;","</f>
        <v>totalActions: 45,</v>
      </c>
      <c r="E131" t="str">
        <f>"totalActions: "&amp;$Z$12&amp;","</f>
        <v>totalActions: 0,</v>
      </c>
      <c r="F131" t="str">
        <f>"totalActions: "&amp;$Z$22&amp;","</f>
        <v>totalActions: 51,</v>
      </c>
      <c r="G131" t="str">
        <f>"totalActions: "&amp;$Z$3&amp;","</f>
        <v>totalActions: 0,</v>
      </c>
      <c r="H131" t="str">
        <f>"totalActions: "&amp;$Z$7&amp;","</f>
        <v>totalActions: 31,</v>
      </c>
      <c r="I131" t="str">
        <f>"totalActions: "&amp;$Z$8&amp;","</f>
        <v>totalActions: 12,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12,</v>
      </c>
      <c r="M131" t="str">
        <f>"totalActions: "&amp;$Z$21&amp;","</f>
        <v>totalActions: 23,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11,</v>
      </c>
      <c r="Q131" t="str">
        <f>"totalActions: "&amp;$Z$10&amp;","</f>
        <v>totalActions: 19,</v>
      </c>
      <c r="R131" t="str">
        <f>"totalActions: "&amp;$Z$2&amp;","</f>
        <v>totalActions: 2,</v>
      </c>
      <c r="S131" t="str">
        <f>"totalActions: "&amp;$Z$19&amp;","</f>
        <v>totalActions: 16,</v>
      </c>
      <c r="T131" t="str">
        <f>"totalActions: "&amp;$Z$17&amp;","</f>
        <v>totalActions: 33,</v>
      </c>
      <c r="U131" t="str">
        <f>"totalActions: "&amp;$Z$18&amp;","</f>
        <v>totalActions: 0,</v>
      </c>
      <c r="V131" t="str">
        <f>"totalActions: "&amp;$Z$16&amp;","</f>
        <v>totalActions: 14,</v>
      </c>
      <c r="W131" t="str">
        <f>"totalActions: "&amp;$Z$6&amp;","</f>
        <v>totalActions: 2,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class="stat-value-2"&gt;14&lt;/span&gt;&lt;/p&gt;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class="stat-value-2"&gt;4&lt;/span&gt;&lt;/p&gt;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class="stat-value-2"&gt;17&lt;/span&gt;&lt;/p&gt;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class="stat-value-2"&gt;0&lt;/span&gt;&lt;/p&gt;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class="stat-value-2"&gt;5&lt;/span&gt;&lt;/p&gt;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class="stat-value-2"&gt;8&lt;/span&gt;&lt;/p&gt;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class="stat-value-2"&gt;4&lt;/span&gt;&lt;/p&gt;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class="stat-value-2"&gt;4&lt;/span&gt;&lt;/p&gt;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class="stat-value-2"&gt;3&lt;/span&gt;&lt;/p&gt;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class="stat-value-2"&gt;3&lt;/span&gt;&lt;/p&gt;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class="stat-value-2"&gt;9&lt;/span&gt;&lt;/p&gt;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class="stat-value-2"&gt;6&lt;/span&gt;&lt;/p&gt;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class="stat-value-2"&gt;10&lt;/span&gt;&lt;/p&gt;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class="stat-value-2"&gt;8&lt;/span&gt;&lt;/p&gt;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class="stat-value-2"&gt;0.17&lt;/span&gt;&lt;/p&gt;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class="stat-value-2"&gt;0.04&lt;/span&gt;&lt;/p&gt;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class="stat-value-2"&gt;0.19&lt;/span&gt;&lt;/p&gt;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class="stat-value-2"&gt;0.06&lt;/span&gt;&lt;/p&gt;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class="stat-value-2"&gt;0.09&lt;/span&gt;&lt;/p&gt;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class="stat-value-2"&gt;0.14&lt;/span&gt;&lt;/p&gt;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class="stat-value-2"&gt;0.15&lt;/span&gt;&lt;/p&gt;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class="stat-value-2"&gt;0.04&lt;/span&gt;&lt;/p&gt;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class="stat-value-2"&gt;0.11&lt;/span&gt;&lt;/p&gt;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class="stat-value-2"&gt;0.08&lt;/span&gt;&lt;/p&gt;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class="stat-value-2"&gt;0.14&lt;/span&gt;&lt;/p&gt;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class="stat-value-2"&gt;0.14&lt;/span&gt;&lt;/p&gt;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class="stat-value-2"&gt;1&lt;/span&gt;&lt;/p&gt;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class="stat-value-2"&gt;1&lt;/span&gt;&lt;/p&gt;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class="stat-value-2"&gt;1&lt;/span&gt;&lt;/p&gt;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class="stat-value-2"&gt;1&lt;/span&gt;&lt;/p&gt;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class="stat-value-2"&gt;1&lt;/span&gt;&lt;/p&gt;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class="stat-value-2"&gt;1&lt;/span&gt;&lt;/p&gt;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class="stat-value-2"&gt;1&lt;/span&gt;&lt;/p&gt;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class="stat-value-2"&gt;3&lt;/span&gt;&lt;/p&gt;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class="stat-value-2"&gt;2&lt;/span&gt;&lt;/p&gt;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class="stat-value-2"&gt;1&lt;/span&gt;&lt;/p&gt;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class="stat-value-2"&gt;1&lt;/span&gt;&lt;/p&gt;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class="stat-value-2"&gt;1&lt;/span&gt;&lt;/p&gt;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class="stat-value-2"&gt;1&lt;/span&gt;&lt;/p&gt;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class="stat-value-2"&gt;1&lt;/span&gt;&lt;/p&gt;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class="stat-value-2"&gt;2&lt;/span&gt;&lt;/p&gt;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class="stat-value-2"&gt;7&lt;/span&gt;&lt;/p&gt;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class="stat-value-2"&gt;0&lt;/span&gt;&lt;/p&gt;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class="stat-value-2"&gt;3&lt;/span&gt;&lt;/p&gt;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class="stat-value-2"&gt;5&lt;/span&gt;&lt;/p&gt;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class="stat-value-2"&gt;1&lt;/span&gt;&lt;/p&gt;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class="stat-value-2"&gt;3&lt;/span&gt;&lt;/p&gt;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class="stat-value-2"&gt;0&lt;/span&gt;&lt;/p&gt;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class="stat-value-2"&gt;0&lt;/span&gt;&lt;/p&gt;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class="stat-value-2"&gt;1&lt;/span&gt;&lt;/p&gt;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class="stat-value-2"&gt;8&lt;/span&gt;&lt;/p&gt;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class="stat-value-2"&gt;2&lt;/span&gt;&lt;/p&gt;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class="stat-value-2"&gt;1&lt;/span&gt;&lt;/p&gt;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class="stat-value-2"&gt;1&lt;/span&gt;&lt;/p&gt;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class="stat-value-2"&gt;1&lt;/span&gt;&lt;/p&gt;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class="stat-value-2"&gt;1&lt;/span&gt;&lt;/p&gt;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class="stat-value-2"&gt;1&lt;/span&gt;&lt;/p&gt;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class="stat-value-2"&gt;1&lt;/span&gt;&lt;/p&gt;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class="stat-value-2"&gt;0&lt;/span&gt;&lt;/p&gt;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class="stat-value-2"&gt;3&lt;/span&gt;&lt;/p&gt;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class="stat-value-2"&gt;0&lt;/span&gt;&lt;/p&gt;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class="stat-value-2"&gt;2&lt;/span&gt;&lt;/p&gt;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class="stat-value-2"&gt;0&lt;/span&gt;&lt;/p&gt;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class="stat-value-2"&gt;2&lt;/span&gt;&lt;/p&gt;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class="stat-value-2"&gt;3&lt;/span&gt;&lt;/p&gt;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class="stat-value-2"&gt;0&lt;/span&gt;&lt;/p&gt;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class="stat-value-2"&gt;2&lt;/span&gt;&lt;/p&gt;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class="stat-value-2"&gt;6&lt;/span&gt;&lt;/p&gt;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class="stat-value-2"&gt;0&lt;/span&gt;&lt;/p&gt;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class="stat-value-2"&gt;1&lt;/span&gt;&lt;/p&gt;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class="stat-value-2"&gt;2&lt;/span&gt;&lt;/p&gt;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class="stat-value-2"&gt;0&lt;/span&gt;&lt;/p&gt;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class="stat-value-2"&gt;1&lt;/span&gt;&lt;/p&gt;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class="stat-value-2"&gt;1&lt;/span&gt;&lt;/p&gt;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class="stat-value-2"&gt;2&lt;/span&gt;&lt;/p&gt;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class="stat-value-2"&gt;0&lt;/span&gt;&lt;/p&gt;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class="stat-value-2"&gt;1&lt;/span&gt;&lt;/p&gt;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class="stat-value-2"&gt;0&lt;/span&gt;&lt;/p&gt;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class="stat-value-2"&gt;0&lt;/span&gt;&lt;/p&gt;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class="stat-value-2"&gt;2&lt;/span&gt;&lt;/p&gt;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class="stat-value-2"&gt;0&lt;/span&gt;&lt;/p&gt;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class="stat-value-2"&gt;2&lt;/span&gt;&lt;/p&gt;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class="stat-value-2"&gt;1&lt;/span&gt;&lt;/p&gt;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class="stat-value-2"&gt;0&lt;/span&gt;&lt;/p&gt;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class="stat-value-2"&gt;3&lt;/span&gt;&lt;/p&gt;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class="stat-value-2"&gt;0&lt;/span&gt;&lt;/p&gt;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class="stat-value-2"&gt;0&lt;/span&gt;&lt;/p&gt;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class="stat-value-2"&gt;1&lt;/span&gt;&lt;/p&gt;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class="stat-value-2"&gt;0&lt;/span&gt;&lt;/p&gt;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class="stat-value-2"&gt;0&lt;/span&gt;&lt;/p&gt;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class="stat-value-2"&gt;14&lt;/span&gt;&lt;/p&gt;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class="stat-value-2"&gt;20&lt;/span&gt;&lt;/p&gt;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class="stat-value-2"&gt;28&lt;/span&gt;&lt;/p&gt;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class="stat-value-2"&gt;0&lt;/span&gt;&lt;/p&gt;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class="stat-value-2"&gt;46&lt;/span&gt;&lt;/p&gt;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class="stat-value-2"&gt;0&lt;/span&gt;&lt;/p&gt;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class="stat-value-2"&gt;23&lt;/span&gt;&lt;/p&gt;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class="stat-value-2"&gt;8&lt;/span&gt;&lt;/p&gt;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class="stat-value-2"&gt;8&lt;/span&gt;&lt;/p&gt;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class="stat-value-2"&gt;20&lt;/span&gt;&lt;/p&gt;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class="stat-value-2"&gt;8&lt;/span&gt;&lt;/p&gt;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class="stat-value-2"&gt;10&lt;/span&gt;&lt;/p&gt;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class="stat-value-2"&gt;2&lt;/span&gt;&lt;/p&gt;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class="stat-value-2"&gt;10&lt;/span&gt;&lt;/p&gt;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class="stat-value-2"&gt;23&lt;/span&gt;&lt;/p&gt;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class="stat-value-2"&gt;6&lt;/span&gt;&lt;/p&gt;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class="stat-value-2"&gt;2&lt;/span&gt;&lt;/p&gt;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class="stat-value-2"&gt;0.17&lt;/span&gt;&lt;/p&gt;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class="stat-value-2"&gt;0.22&lt;/span&gt;&lt;/p&gt;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class="stat-value-2"&gt;0.32&lt;/span&gt;&lt;/p&gt;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class="stat-value-2"&gt;0.51&lt;/span&gt;&lt;/p&gt;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class="stat-value-2"&gt;0.26&lt;/span&gt;&lt;/p&gt;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class="stat-value-2"&gt;0.29&lt;/span&gt;&lt;/p&gt;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class="stat-value-2"&gt;0.30&lt;/span&gt;&lt;/p&gt;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class="stat-value-2"&gt;0.24&lt;/span&gt;&lt;/p&gt;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class="stat-value-2"&gt;0.29&lt;/span&gt;&lt;/p&gt;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class="stat-value-2"&gt;0.11&lt;/span&gt;&lt;/p&gt;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class="stat-value-2"&gt;0.29&lt;/span&gt;&lt;/p&gt;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class="stat-value-2"&gt;0.13&lt;/span&gt;&lt;/p&gt;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class="stat-value-2"&gt;0.33&lt;/span&gt;&lt;/p&gt;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class="stat-value-2"&gt;0.11&lt;/span&gt;&lt;/p&gt;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class="stat-value-2"&gt;1.00&lt;/span&gt;&lt;/p&gt;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class="stat-value-2"&gt;2&lt;/span&gt;&lt;/p&gt;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class="stat-value-2"&gt;3&lt;/span&gt;&lt;/p&gt;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class="stat-value-2"&gt;5&lt;/span&gt;&lt;/p&gt;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class="stat-value-2"&gt;0&lt;/span&gt;&lt;/p&gt;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class="stat-value-2"&gt;6&lt;/span&gt;&lt;/p&gt;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class="stat-value-2"&gt;1&lt;/span&gt;&lt;/p&gt;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class="stat-value-2"&gt;2&lt;/span&gt;&lt;/p&gt;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class="stat-value-2"&gt;2&lt;/span&gt;&lt;/p&gt;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class="stat-value-2"&gt;3&lt;/span&gt;&lt;/p&gt;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class="stat-value-2"&gt;1&lt;/span&gt;&lt;/p&gt;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class="stat-value-2"&gt;1&lt;/span&gt;&lt;/p&gt;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class="stat-value-2"&gt;1&lt;/span&gt;&lt;/p&gt;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class="stat-value-2"&gt;4&lt;/span&gt;&lt;/p&gt;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class="stat-value-2"&gt;4&lt;/span&gt;&lt;/p&gt;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class="stat-value-2"&gt;3&lt;/span&gt;&lt;/p&gt;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class="stat-value-2"&gt;1&lt;/span&gt;&lt;/p&gt;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class="stat-value-2"&gt;4&lt;/span&gt;&lt;/p&gt;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class="stat-value-2"&gt;6&lt;/span&gt;&lt;/p&gt;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class="stat-value-2"&gt;5&lt;/span&gt;&lt;/p&gt;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class="stat-value-2"&gt;5&lt;/span&gt;&lt;/p&gt;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class="stat-value-2"&gt;1&lt;/span&gt;&lt;/p&gt;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class="stat-value-2"&gt;3&lt;/span&gt;&lt;/p&gt;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class="stat-value-2"&gt;2&lt;/span&gt;&lt;/p&gt;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class="stat-value-2"&gt;0&lt;/span&gt;&lt;/p&gt;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class="stat-value-2"&gt;0&lt;/span&gt;&lt;/p&gt;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class="stat-value-2"&gt;2&lt;/span&gt;&lt;/p&gt;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class="stat-value-2"&gt;9&lt;/span&gt;&lt;/p&gt;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class="stat-value-2"&gt;1&lt;/span&gt;&lt;/p&gt;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class="stat-value-2"&gt;1&lt;/span&gt;&lt;/p&gt;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class="stat-value-2"&gt;0&lt;/span&gt;&lt;/p&gt;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class="stat-value-2"&gt;0&lt;/span&gt;&lt;/p&gt;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class="stat-value-2"&gt;3&lt;/span&gt;&lt;/p&gt;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class="stat-value-2"&gt;0&lt;/span&gt;&lt;/p&gt;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class="stat-value-2"&gt;2&lt;/span&gt;&lt;/p&gt;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class="stat-value-2"&gt;1&lt;/span&gt;&lt;/p&gt;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class="stat-value-2"&gt;1&lt;/span&gt;&lt;/p&gt;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class="stat-value-2"&gt;1&lt;/span&gt;&lt;/p&gt;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class="stat-value-2"&gt;0&lt;/span&gt;&lt;/p&gt;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class="stat-value-2"&gt;1&lt;/span&gt;&lt;/p&gt;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class="stat-value-2"&gt;2&lt;/span&gt;&lt;/p&gt;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class="stat-value-2"&gt;2&lt;/span&gt;&lt;/p&gt;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class="stat-value-2"&gt;3&lt;/span&gt;&lt;/p&gt;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class="stat-value-2"&gt;2&lt;/span&gt;&lt;/p&gt;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class="stat-value-2"&gt;1&lt;/span&gt;&lt;/p&gt;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class="stat-value-2"&gt;1&lt;/span&gt;&lt;/p&gt;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class="stat-value-2"&gt;1&lt;/span&gt;&lt;/p&gt;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class="stat-value-2"&gt;2&lt;/span&gt;&lt;/p&gt;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class="stat-value-2"&gt;3&lt;/span&gt;&lt;/p&gt;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class="stat-value-2"&gt;2&lt;/span&gt;&lt;/p&gt;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class="stat-value-2"&gt;8&lt;/span&gt;&lt;/p&gt;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class="stat-value-2"&gt;2&lt;/span&gt;&lt;/p&gt;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class="stat-value-2"&gt;1&lt;/span&gt;&lt;/p&gt;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class="stat-value-2"&gt;0&lt;/span&gt;&lt;/p&gt;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class="stat-value-2"&gt;1&lt;/span&gt;&lt;/p&gt;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class="stat-value-2"&gt;4&lt;/span&gt;&lt;/p&gt;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class="stat-value-2"&gt;2&lt;/span&gt;&lt;/p&gt;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class="stat-value-2"&gt;3&lt;/span&gt;&lt;/p&gt;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class="stat-value-2"&gt;3&lt;/span&gt;&lt;/p&gt;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class="stat-value-2"&gt;3&lt;/span&gt;&lt;/p&gt;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class="stat-value-2"&gt;1&lt;/span&gt;&lt;/p&gt;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class="stat-value-2"&gt;0&lt;/span&gt;&lt;/p&gt;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class="stat-value-2"&gt;3&lt;/span&gt;&lt;/p&gt;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class="stat-value-2"&gt;2&lt;/span&gt;&lt;/p&gt;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class="stat-value-2"&gt;4&lt;/span&gt;&lt;/p&gt;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class="stat-value-2"&gt;0&lt;/span&gt;&lt;/p&gt;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class="stat-value-2"&gt;20&lt;/span&gt;&lt;/p&gt;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class="stat-value-2"&gt;8&lt;/span&gt;&lt;/p&gt;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class="stat-value-2"&gt;2&lt;/span&gt;&lt;/p&gt;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class="stat-value-2"&gt;0&lt;/span&gt;&lt;/p&gt;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class="stat-value-2"&gt;2&lt;/span&gt;&lt;/p&gt;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class="stat-value-2"&gt;3&lt;/span&gt;&lt;/p&gt;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class="stat-value-2"&gt;6&lt;/span&gt;&lt;/p&gt;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class="stat-value-2"&gt;4&lt;/span&gt;&lt;/p&gt;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class="stat-value-2"&gt;7&lt;/span&gt;&lt;/p&gt;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class="stat-value-2"&gt;0&lt;/span&gt;&lt;/p&gt;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class="stat-value-2"&gt;1&lt;/span&gt;&lt;/p&gt;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class="stat-value-2"&gt;3&lt;/span&gt;&lt;/p&gt;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class="stat-value-2"&gt;1&lt;/span&gt;&lt;/p&gt;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class="stat-value-2"&gt;0&lt;/span&gt;&lt;/p&gt;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class="stat-value-2"&gt;11&lt;/span&gt;&lt;/p&gt;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class="stat-value-2"&gt;3&lt;/span&gt;&lt;/p&gt;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class="stat-value-2"&gt;3&lt;/span&gt;&lt;/p&gt;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class="stat-value-2"&gt;1&lt;/span&gt;&lt;/p&gt;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class="stat-value-2"&gt;2&lt;/span&gt;&lt;/p&gt;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class="stat-value-2"&gt;4&lt;/span&gt;&lt;/p&gt;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class="stat-value-2"&gt;2&lt;/span&gt;&lt;/p&gt;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class="stat-value-2"&gt;1&lt;/span&gt;&lt;/p&gt;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5082-0B90-4569-8DAF-32F15F533D89}">
  <dimension ref="A1:AT157"/>
  <sheetViews>
    <sheetView tabSelected="1" topLeftCell="A131" workbookViewId="0">
      <selection activeCell="I148" sqref="I148:I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 s="1">
        <f>IFERROR(X2/B2,0)</f>
        <v>0.33333333333333331</v>
      </c>
      <c r="Z2">
        <v>2</v>
      </c>
      <c r="AA2" s="1">
        <f>IFERROR(Z2/B2,0)</f>
        <v>0.33333333333333331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0.33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6&lt;/td&gt;&lt;td&gt;0&lt;/td&gt;&lt;td&gt;1&lt;/td&gt;&lt;td&gt;0&lt;/td&gt;&lt;td&gt;0&lt;/td&gt;&lt;td&gt;0&lt;/td&gt;&lt;td&gt;0&lt;/td&gt;&lt;td&gt;0&lt;/td&gt;&lt;td&gt;1&lt;/td&gt;&lt;td&gt;2&lt;/td&gt;&lt;td&gt;0.33&lt;/td&gt;&lt;td&gt;2&lt;/td&gt;&lt;td&gt;0.33&lt;/td&gt;&lt;/tr&gt;</v>
      </c>
    </row>
    <row r="3" spans="1:46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f t="shared" ref="Y3:Y24" si="1">IFERROR(X3/B3,0)</f>
        <v>0</v>
      </c>
      <c r="Z3"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" spans="1:46" x14ac:dyDescent="0.3">
      <c r="A4" t="s">
        <v>27</v>
      </c>
      <c r="B4">
        <v>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5</v>
      </c>
      <c r="K4">
        <v>2</v>
      </c>
      <c r="L4">
        <v>1</v>
      </c>
      <c r="M4">
        <v>3</v>
      </c>
      <c r="N4">
        <v>12</v>
      </c>
      <c r="O4" s="1">
        <f t="shared" si="0"/>
        <v>0.1875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5</v>
      </c>
      <c r="W4">
        <v>1</v>
      </c>
      <c r="X4">
        <v>8</v>
      </c>
      <c r="Y4" s="1">
        <f t="shared" si="1"/>
        <v>0.125</v>
      </c>
      <c r="Z4">
        <v>20</v>
      </c>
      <c r="AA4" s="1">
        <f t="shared" si="2"/>
        <v>0.3125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64&lt;/td&gt;&lt;td&gt;0&lt;/td&gt;&lt;td&gt;0&lt;/td&gt;&lt;td&gt;1&lt;/td&gt;&lt;td&gt;0&lt;/td&gt;&lt;td&gt;0&lt;/td&gt;&lt;td&gt;0&lt;/td&gt;&lt;td&gt;0&lt;/td&gt;&lt;td&gt;5&lt;/td&gt;&lt;td&gt;2&lt;/td&gt;&lt;td&gt;1&lt;/td&gt;&lt;td&gt;3&lt;/td&gt;&lt;td&gt;12&lt;/td&gt;&lt;td&gt;0.19&lt;/td&gt;&lt;td&gt;20&lt;/td&gt;&lt;td&gt;0.31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64&lt;/td&gt;&lt;td&gt;0&lt;/td&gt;&lt;td&gt;0&lt;/td&gt;&lt;td&gt;0&lt;/td&gt;&lt;td&gt;0&lt;/td&gt;&lt;td&gt;0&lt;/td&gt;&lt;td&gt;2&lt;/td&gt;&lt;td&gt;5&lt;/td&gt;&lt;td&gt;1&lt;/td&gt;&lt;td&gt;8&lt;/td&gt;&lt;td&gt;0.13&lt;/td&gt;&lt;td&gt;20&lt;/td&gt;&lt;td&gt;0.31&lt;/td&gt;&lt;/tr&gt;</v>
      </c>
    </row>
    <row r="5" spans="1:46" x14ac:dyDescent="0.3">
      <c r="A5" t="s">
        <v>28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4</v>
      </c>
      <c r="K5">
        <v>1</v>
      </c>
      <c r="L5">
        <v>0</v>
      </c>
      <c r="M5">
        <v>0</v>
      </c>
      <c r="N5">
        <v>6</v>
      </c>
      <c r="O5" s="1">
        <f t="shared" si="0"/>
        <v>0.24</v>
      </c>
      <c r="P5">
        <v>0</v>
      </c>
      <c r="Q5">
        <v>1</v>
      </c>
      <c r="R5">
        <v>2</v>
      </c>
      <c r="S5">
        <v>1</v>
      </c>
      <c r="T5">
        <v>0</v>
      </c>
      <c r="U5">
        <v>0</v>
      </c>
      <c r="V5">
        <v>0</v>
      </c>
      <c r="W5">
        <v>2</v>
      </c>
      <c r="X5">
        <v>6</v>
      </c>
      <c r="Y5" s="1">
        <f t="shared" si="1"/>
        <v>0.24</v>
      </c>
      <c r="Z5">
        <v>12</v>
      </c>
      <c r="AA5" s="1">
        <f t="shared" si="2"/>
        <v>0.48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25&lt;/td&gt;&lt;td&gt;0&lt;/td&gt;&lt;td&gt;0&lt;/td&gt;&lt;td&gt;0&lt;/td&gt;&lt;td&gt;0&lt;/td&gt;&lt;td&gt;0&lt;/td&gt;&lt;td&gt;0&lt;/td&gt;&lt;td&gt;1&lt;/td&gt;&lt;td&gt;4&lt;/td&gt;&lt;td&gt;1&lt;/td&gt;&lt;td&gt;0&lt;/td&gt;&lt;td&gt;0&lt;/td&gt;&lt;td&gt;6&lt;/td&gt;&lt;td&gt;0.24&lt;/td&gt;&lt;td&gt;12&lt;/td&gt;&lt;td&gt;0.48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25&lt;/td&gt;&lt;td&gt;0&lt;/td&gt;&lt;td&gt;1&lt;/td&gt;&lt;td&gt;2&lt;/td&gt;&lt;td&gt;1&lt;/td&gt;&lt;td&gt;0&lt;/td&gt;&lt;td&gt;0&lt;/td&gt;&lt;td&gt;0&lt;/td&gt;&lt;td&gt;2&lt;/td&gt;&lt;td&gt;6&lt;/td&gt;&lt;td&gt;0.24&lt;/td&gt;&lt;td&gt;12&lt;/td&gt;&lt;td&gt;0.48&lt;/td&gt;&lt;/tr&gt;</v>
      </c>
    </row>
    <row r="6" spans="1:46" x14ac:dyDescent="0.3">
      <c r="A6" t="s">
        <v>29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3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3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" spans="1:46" x14ac:dyDescent="0.3">
      <c r="A7" t="s">
        <v>30</v>
      </c>
      <c r="B7">
        <v>79</v>
      </c>
      <c r="C7">
        <v>1</v>
      </c>
      <c r="D7">
        <v>0</v>
      </c>
      <c r="E7">
        <v>2</v>
      </c>
      <c r="F7">
        <v>6</v>
      </c>
      <c r="G7">
        <v>0</v>
      </c>
      <c r="H7">
        <v>0</v>
      </c>
      <c r="I7">
        <v>6</v>
      </c>
      <c r="J7">
        <v>1</v>
      </c>
      <c r="K7">
        <v>1</v>
      </c>
      <c r="L7">
        <v>1</v>
      </c>
      <c r="M7">
        <v>1</v>
      </c>
      <c r="N7">
        <v>19</v>
      </c>
      <c r="O7" s="1">
        <f t="shared" si="0"/>
        <v>0.24050632911392406</v>
      </c>
      <c r="P7">
        <v>1</v>
      </c>
      <c r="Q7">
        <v>5</v>
      </c>
      <c r="R7">
        <v>2</v>
      </c>
      <c r="S7">
        <v>1</v>
      </c>
      <c r="T7">
        <v>0</v>
      </c>
      <c r="U7">
        <v>2</v>
      </c>
      <c r="V7">
        <v>7</v>
      </c>
      <c r="W7">
        <v>7</v>
      </c>
      <c r="X7">
        <v>25</v>
      </c>
      <c r="Y7" s="1">
        <f t="shared" si="1"/>
        <v>0.31645569620253167</v>
      </c>
      <c r="Z7">
        <v>44</v>
      </c>
      <c r="AA7" s="1">
        <f t="shared" si="2"/>
        <v>0.55696202531645567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79&lt;/td&gt;&lt;td&gt;1&lt;/td&gt;&lt;td&gt;0&lt;/td&gt;&lt;td&gt;2&lt;/td&gt;&lt;td&gt;6&lt;/td&gt;&lt;td&gt;0&lt;/td&gt;&lt;td&gt;0&lt;/td&gt;&lt;td&gt;6&lt;/td&gt;&lt;td&gt;1&lt;/td&gt;&lt;td&gt;1&lt;/td&gt;&lt;td&gt;1&lt;/td&gt;&lt;td&gt;1&lt;/td&gt;&lt;td&gt;19&lt;/td&gt;&lt;td&gt;0.24&lt;/td&gt;&lt;td&gt;44&lt;/td&gt;&lt;td&gt;0.56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79&lt;/td&gt;&lt;td&gt;1&lt;/td&gt;&lt;td&gt;5&lt;/td&gt;&lt;td&gt;2&lt;/td&gt;&lt;td&gt;1&lt;/td&gt;&lt;td&gt;0&lt;/td&gt;&lt;td&gt;2&lt;/td&gt;&lt;td&gt;7&lt;/td&gt;&lt;td&gt;7&lt;/td&gt;&lt;td&gt;25&lt;/td&gt;&lt;td&gt;0.32&lt;/td&gt;&lt;td&gt;44&lt;/td&gt;&lt;td&gt;0.56&lt;/td&gt;&lt;/tr&gt;</v>
      </c>
    </row>
    <row r="8" spans="1:46" x14ac:dyDescent="0.3">
      <c r="A8" t="s">
        <v>31</v>
      </c>
      <c r="B8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3</v>
      </c>
      <c r="O8" s="1">
        <f t="shared" si="0"/>
        <v>0.11538461538461539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4</v>
      </c>
      <c r="X8">
        <v>6</v>
      </c>
      <c r="Y8" s="1">
        <f t="shared" si="1"/>
        <v>0.23076923076923078</v>
      </c>
      <c r="Z8">
        <v>9</v>
      </c>
      <c r="AA8" s="1">
        <f t="shared" si="2"/>
        <v>0.34615384615384615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26&lt;/td&gt;&lt;td&gt;0&lt;/td&gt;&lt;td&gt;0&lt;/td&gt;&lt;td&gt;0&lt;/td&gt;&lt;td&gt;0&lt;/td&gt;&lt;td&gt;0&lt;/td&gt;&lt;td&gt;1&lt;/td&gt;&lt;td&gt;0&lt;/td&gt;&lt;td&gt;0&lt;/td&gt;&lt;td&gt;2&lt;/td&gt;&lt;td&gt;0&lt;/td&gt;&lt;td&gt;0&lt;/td&gt;&lt;td&gt;3&lt;/td&gt;&lt;td&gt;0.12&lt;/td&gt;&lt;td&gt;9&lt;/td&gt;&lt;td&gt;0.35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26&lt;/td&gt;&lt;td&gt;1&lt;/td&gt;&lt;td&gt;0&lt;/td&gt;&lt;td&gt;1&lt;/td&gt;&lt;td&gt;0&lt;/td&gt;&lt;td&gt;0&lt;/td&gt;&lt;td&gt;0&lt;/td&gt;&lt;td&gt;0&lt;/td&gt;&lt;td&gt;4&lt;/td&gt;&lt;td&gt;6&lt;/td&gt;&lt;td&gt;0.23&lt;/td&gt;&lt;td&gt;9&lt;/td&gt;&lt;td&gt;0.35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90</v>
      </c>
      <c r="C10">
        <v>0</v>
      </c>
      <c r="D10">
        <v>0</v>
      </c>
      <c r="E10">
        <v>1</v>
      </c>
      <c r="F10">
        <v>2</v>
      </c>
      <c r="G10">
        <v>3</v>
      </c>
      <c r="H10">
        <v>0</v>
      </c>
      <c r="I10">
        <v>3</v>
      </c>
      <c r="J10">
        <v>1</v>
      </c>
      <c r="K10">
        <v>0</v>
      </c>
      <c r="L10">
        <v>4</v>
      </c>
      <c r="M10">
        <v>3</v>
      </c>
      <c r="N10">
        <v>14</v>
      </c>
      <c r="O10" s="1">
        <f t="shared" si="0"/>
        <v>0.15555555555555556</v>
      </c>
      <c r="P10">
        <v>2</v>
      </c>
      <c r="Q10">
        <v>0</v>
      </c>
      <c r="R10">
        <v>3</v>
      </c>
      <c r="S10">
        <v>0</v>
      </c>
      <c r="T10">
        <v>0</v>
      </c>
      <c r="U10">
        <v>0</v>
      </c>
      <c r="V10">
        <v>0</v>
      </c>
      <c r="W10">
        <v>2</v>
      </c>
      <c r="X10">
        <v>7</v>
      </c>
      <c r="Y10" s="1">
        <f t="shared" si="1"/>
        <v>7.7777777777777779E-2</v>
      </c>
      <c r="Z10">
        <v>21</v>
      </c>
      <c r="AA10" s="1">
        <f t="shared" si="2"/>
        <v>0.23333333333333334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90&lt;/td&gt;&lt;td&gt;0&lt;/td&gt;&lt;td&gt;0&lt;/td&gt;&lt;td&gt;1&lt;/td&gt;&lt;td&gt;2&lt;/td&gt;&lt;td&gt;3&lt;/td&gt;&lt;td&gt;0&lt;/td&gt;&lt;td&gt;3&lt;/td&gt;&lt;td&gt;1&lt;/td&gt;&lt;td&gt;0&lt;/td&gt;&lt;td&gt;4&lt;/td&gt;&lt;td&gt;3&lt;/td&gt;&lt;td&gt;14&lt;/td&gt;&lt;td&gt;0.16&lt;/td&gt;&lt;td&gt;21&lt;/td&gt;&lt;td&gt;0.23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90&lt;/td&gt;&lt;td&gt;2&lt;/td&gt;&lt;td&gt;0&lt;/td&gt;&lt;td&gt;3&lt;/td&gt;&lt;td&gt;0&lt;/td&gt;&lt;td&gt;0&lt;/td&gt;&lt;td&gt;0&lt;/td&gt;&lt;td&gt;0&lt;/td&gt;&lt;td&gt;2&lt;/td&gt;&lt;td&gt;7&lt;/td&gt;&lt;td&gt;0.08&lt;/td&gt;&lt;td&gt;21&lt;/td&gt;&lt;td&gt;0.23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50</v>
      </c>
      <c r="C12">
        <v>0</v>
      </c>
      <c r="D12">
        <v>0</v>
      </c>
      <c r="E12">
        <v>0</v>
      </c>
      <c r="F12">
        <v>7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9</v>
      </c>
      <c r="O12" s="1">
        <f t="shared" si="0"/>
        <v>0.18</v>
      </c>
      <c r="P12">
        <v>6</v>
      </c>
      <c r="Q12">
        <v>4</v>
      </c>
      <c r="R12">
        <v>3</v>
      </c>
      <c r="S12">
        <v>1</v>
      </c>
      <c r="T12">
        <v>0</v>
      </c>
      <c r="U12">
        <v>0</v>
      </c>
      <c r="V12">
        <v>0</v>
      </c>
      <c r="W12">
        <v>2</v>
      </c>
      <c r="X12">
        <v>16</v>
      </c>
      <c r="Y12" s="1">
        <f t="shared" si="1"/>
        <v>0.32</v>
      </c>
      <c r="Z12">
        <v>25</v>
      </c>
      <c r="AA12" s="1">
        <f t="shared" si="2"/>
        <v>0.5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50&lt;/td&gt;&lt;td&gt;0&lt;/td&gt;&lt;td&gt;0&lt;/td&gt;&lt;td&gt;0&lt;/td&gt;&lt;td&gt;7&lt;/td&gt;&lt;td&gt;0&lt;/td&gt;&lt;td&gt;0&lt;/td&gt;&lt;td&gt;1&lt;/td&gt;&lt;td&gt;0&lt;/td&gt;&lt;td&gt;0&lt;/td&gt;&lt;td&gt;1&lt;/td&gt;&lt;td&gt;0&lt;/td&gt;&lt;td&gt;9&lt;/td&gt;&lt;td&gt;0.18&lt;/td&gt;&lt;td&gt;25&lt;/td&gt;&lt;td&gt;0.50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50&lt;/td&gt;&lt;td&gt;6&lt;/td&gt;&lt;td&gt;4&lt;/td&gt;&lt;td&gt;3&lt;/td&gt;&lt;td&gt;1&lt;/td&gt;&lt;td&gt;0&lt;/td&gt;&lt;td&gt;0&lt;/td&gt;&lt;td&gt;0&lt;/td&gt;&lt;td&gt;2&lt;/td&gt;&lt;td&gt;16&lt;/td&gt;&lt;td&gt;0.32&lt;/td&gt;&lt;td&gt;25&lt;/td&gt;&lt;td&gt;0.50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23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 s="1">
        <f t="shared" si="0"/>
        <v>0.13043478260869565</v>
      </c>
      <c r="P14">
        <v>0</v>
      </c>
      <c r="Q14">
        <v>3</v>
      </c>
      <c r="R14">
        <v>0</v>
      </c>
      <c r="S14">
        <v>0</v>
      </c>
      <c r="T14">
        <v>1</v>
      </c>
      <c r="U14">
        <v>1</v>
      </c>
      <c r="V14">
        <v>2</v>
      </c>
      <c r="W14">
        <v>1</v>
      </c>
      <c r="X14">
        <v>8</v>
      </c>
      <c r="Y14" s="1">
        <f t="shared" si="1"/>
        <v>0.34782608695652173</v>
      </c>
      <c r="Z14">
        <v>11</v>
      </c>
      <c r="AA14" s="1">
        <f t="shared" si="2"/>
        <v>0.47826086956521741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23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0.13&lt;/td&gt;&lt;td&gt;11&lt;/td&gt;&lt;td&gt;0.48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23&lt;/td&gt;&lt;td&gt;0&lt;/td&gt;&lt;td&gt;3&lt;/td&gt;&lt;td&gt;0&lt;/td&gt;&lt;td&gt;0&lt;/td&gt;&lt;td&gt;1&lt;/td&gt;&lt;td&gt;1&lt;/td&gt;&lt;td&gt;2&lt;/td&gt;&lt;td&gt;1&lt;/td&gt;&lt;td&gt;8&lt;/td&gt;&lt;td&gt;0.35&lt;/td&gt;&lt;td&gt;11&lt;/td&gt;&lt;td&gt;0.48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 s="1">
        <f t="shared" si="0"/>
        <v>3.3333333333333333E-2</v>
      </c>
      <c r="P15">
        <v>3</v>
      </c>
      <c r="Q15">
        <v>8</v>
      </c>
      <c r="R15">
        <v>1</v>
      </c>
      <c r="S15">
        <v>1</v>
      </c>
      <c r="T15">
        <v>1</v>
      </c>
      <c r="U15">
        <v>0</v>
      </c>
      <c r="V15">
        <v>6</v>
      </c>
      <c r="W15">
        <v>5</v>
      </c>
      <c r="X15">
        <v>25</v>
      </c>
      <c r="Y15" s="1">
        <f t="shared" si="1"/>
        <v>0.27777777777777779</v>
      </c>
      <c r="Z15">
        <v>28</v>
      </c>
      <c r="AA15" s="1">
        <f t="shared" si="2"/>
        <v>0.31111111111111112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0.03&lt;/td&gt;&lt;td&gt;28&lt;/td&gt;&lt;td&gt;0.31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3&lt;/td&gt;&lt;td&gt;8&lt;/td&gt;&lt;td&gt;1&lt;/td&gt;&lt;td&gt;1&lt;/td&gt;&lt;td&gt;1&lt;/td&gt;&lt;td&gt;0&lt;/td&gt;&lt;td&gt;6&lt;/td&gt;&lt;td&gt;5&lt;/td&gt;&lt;td&gt;25&lt;/td&gt;&lt;td&gt;0.28&lt;/td&gt;&lt;td&gt;28&lt;/td&gt;&lt;td&gt;0.31&lt;/td&gt;&lt;/tr&gt;</v>
      </c>
    </row>
    <row r="16" spans="1:46" x14ac:dyDescent="0.3">
      <c r="A16" t="s">
        <v>39</v>
      </c>
      <c r="B16">
        <v>54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2</v>
      </c>
      <c r="J16">
        <v>4</v>
      </c>
      <c r="K16">
        <v>3</v>
      </c>
      <c r="L16">
        <v>2</v>
      </c>
      <c r="M16">
        <v>1</v>
      </c>
      <c r="N16">
        <v>14</v>
      </c>
      <c r="O16" s="1">
        <f t="shared" si="0"/>
        <v>0.25925925925925924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3</v>
      </c>
      <c r="Y16" s="1">
        <f t="shared" si="1"/>
        <v>5.5555555555555552E-2</v>
      </c>
      <c r="Z16">
        <v>17</v>
      </c>
      <c r="AA16" s="1">
        <f t="shared" si="2"/>
        <v>0.31481481481481483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54&lt;/td&gt;&lt;td&gt;0&lt;/td&gt;&lt;td&gt;0&lt;/td&gt;&lt;td&gt;0&lt;/td&gt;&lt;td&gt;2&lt;/td&gt;&lt;td&gt;0&lt;/td&gt;&lt;td&gt;0&lt;/td&gt;&lt;td&gt;2&lt;/td&gt;&lt;td&gt;4&lt;/td&gt;&lt;td&gt;3&lt;/td&gt;&lt;td&gt;2&lt;/td&gt;&lt;td&gt;1&lt;/td&gt;&lt;td&gt;14&lt;/td&gt;&lt;td&gt;0.26&lt;/td&gt;&lt;td&gt;17&lt;/td&gt;&lt;td&gt;0.31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54&lt;/td&gt;&lt;td&gt;1&lt;/td&gt;&lt;td&gt;0&lt;/td&gt;&lt;td&gt;1&lt;/td&gt;&lt;td&gt;0&lt;/td&gt;&lt;td&gt;0&lt;/td&gt;&lt;td&gt;0&lt;/td&gt;&lt;td&gt;0&lt;/td&gt;&lt;td&gt;1&lt;/td&gt;&lt;td&gt;3&lt;/td&gt;&lt;td&gt;0.06&lt;/td&gt;&lt;td&gt;17&lt;/td&gt;&lt;td&gt;0.31&lt;/td&gt;&lt;/tr&gt;</v>
      </c>
    </row>
    <row r="17" spans="1:46" x14ac:dyDescent="0.3">
      <c r="A17" t="s">
        <v>40</v>
      </c>
      <c r="B17">
        <v>65</v>
      </c>
      <c r="C17">
        <v>0</v>
      </c>
      <c r="D17">
        <v>0</v>
      </c>
      <c r="E17">
        <v>0</v>
      </c>
      <c r="F17">
        <v>2</v>
      </c>
      <c r="G17">
        <v>1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N17">
        <v>6</v>
      </c>
      <c r="O17" s="1">
        <f t="shared" si="0"/>
        <v>9.2307692307692313E-2</v>
      </c>
      <c r="P17">
        <v>0</v>
      </c>
      <c r="Q17">
        <v>2</v>
      </c>
      <c r="R17">
        <v>0</v>
      </c>
      <c r="S17">
        <v>3</v>
      </c>
      <c r="T17">
        <v>1</v>
      </c>
      <c r="U17">
        <v>0</v>
      </c>
      <c r="V17">
        <v>4</v>
      </c>
      <c r="W17">
        <v>0</v>
      </c>
      <c r="X17">
        <v>10</v>
      </c>
      <c r="Y17" s="1">
        <f t="shared" si="1"/>
        <v>0.15384615384615385</v>
      </c>
      <c r="Z17">
        <v>16</v>
      </c>
      <c r="AA17" s="1">
        <f t="shared" si="2"/>
        <v>0.24615384615384617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65&lt;/td&gt;&lt;td&gt;0&lt;/td&gt;&lt;td&gt;0&lt;/td&gt;&lt;td&gt;0&lt;/td&gt;&lt;td&gt;2&lt;/td&gt;&lt;td&gt;1&lt;/td&gt;&lt;td&gt;2&lt;/td&gt;&lt;td&gt;2&lt;/td&gt;&lt;td&gt;0&lt;/td&gt;&lt;td&gt;0&lt;/td&gt;&lt;td&gt;0&lt;/td&gt;&lt;td&gt;0&lt;/td&gt;&lt;td&gt;6&lt;/td&gt;&lt;td&gt;0.09&lt;/td&gt;&lt;td&gt;16&lt;/td&gt;&lt;td&gt;0.25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65&lt;/td&gt;&lt;td&gt;0&lt;/td&gt;&lt;td&gt;2&lt;/td&gt;&lt;td&gt;0&lt;/td&gt;&lt;td&gt;3&lt;/td&gt;&lt;td&gt;1&lt;/td&gt;&lt;td&gt;0&lt;/td&gt;&lt;td&gt;4&lt;/td&gt;&lt;td&gt;0&lt;/td&gt;&lt;td&gt;10&lt;/td&gt;&lt;td&gt;0.15&lt;/td&gt;&lt;td&gt;16&lt;/td&gt;&lt;td&gt;0.25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74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4</v>
      </c>
      <c r="O19" s="1">
        <f t="shared" si="0"/>
        <v>5.4054054054054057E-2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 s="1">
        <f t="shared" si="1"/>
        <v>4.0540540540540543E-2</v>
      </c>
      <c r="Z19">
        <v>7</v>
      </c>
      <c r="AA19" s="1">
        <f t="shared" si="2"/>
        <v>9.45945945945946E-2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74&lt;/td&gt;&lt;td&gt;0&lt;/td&gt;&lt;td&gt;0&lt;/td&gt;&lt;td&gt;0&lt;/td&gt;&lt;td&gt;1&lt;/td&gt;&lt;td&gt;0&lt;/td&gt;&lt;td&gt;1&lt;/td&gt;&lt;td&gt;1&lt;/td&gt;&lt;td&gt;0&lt;/td&gt;&lt;td&gt;0&lt;/td&gt;&lt;td&gt;0&lt;/td&gt;&lt;td&gt;1&lt;/td&gt;&lt;td&gt;4&lt;/td&gt;&lt;td&gt;0.05&lt;/td&gt;&lt;td&gt;7&lt;/td&gt;&lt;td&gt;0.09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74&lt;/td&gt;&lt;td&gt;1&lt;/td&gt;&lt;td&gt;1&lt;/td&gt;&lt;td&gt;1&lt;/td&gt;&lt;td&gt;0&lt;/td&gt;&lt;td&gt;0&lt;/td&gt;&lt;td&gt;0&lt;/td&gt;&lt;td&gt;0&lt;/td&gt;&lt;td&gt;0&lt;/td&gt;&lt;td&gt;3&lt;/td&gt;&lt;td&gt;0.04&lt;/td&gt;&lt;td&gt;7&lt;/td&gt;&lt;td&gt;0.09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73</v>
      </c>
      <c r="C21">
        <v>0</v>
      </c>
      <c r="D21">
        <v>0</v>
      </c>
      <c r="E21">
        <v>0</v>
      </c>
      <c r="F21">
        <v>4</v>
      </c>
      <c r="G21">
        <v>0</v>
      </c>
      <c r="H21">
        <v>1</v>
      </c>
      <c r="I21">
        <v>3</v>
      </c>
      <c r="J21">
        <v>4</v>
      </c>
      <c r="K21">
        <v>2</v>
      </c>
      <c r="L21">
        <v>1</v>
      </c>
      <c r="M21">
        <v>2</v>
      </c>
      <c r="N21">
        <v>17</v>
      </c>
      <c r="O21" s="1">
        <f t="shared" si="0"/>
        <v>0.23287671232876711</v>
      </c>
      <c r="P21">
        <v>4</v>
      </c>
      <c r="Q21">
        <v>6</v>
      </c>
      <c r="R21">
        <v>1</v>
      </c>
      <c r="S21">
        <v>0</v>
      </c>
      <c r="T21">
        <v>0</v>
      </c>
      <c r="U21">
        <v>0</v>
      </c>
      <c r="V21">
        <v>5</v>
      </c>
      <c r="W21">
        <v>2</v>
      </c>
      <c r="X21">
        <v>18</v>
      </c>
      <c r="Y21" s="1">
        <f t="shared" si="1"/>
        <v>0.24657534246575341</v>
      </c>
      <c r="Z21">
        <v>35</v>
      </c>
      <c r="AA21" s="1">
        <f t="shared" si="2"/>
        <v>0.47945205479452052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73&lt;/td&gt;&lt;td&gt;0&lt;/td&gt;&lt;td&gt;0&lt;/td&gt;&lt;td&gt;0&lt;/td&gt;&lt;td&gt;4&lt;/td&gt;&lt;td&gt;0&lt;/td&gt;&lt;td&gt;1&lt;/td&gt;&lt;td&gt;3&lt;/td&gt;&lt;td&gt;4&lt;/td&gt;&lt;td&gt;2&lt;/td&gt;&lt;td&gt;1&lt;/td&gt;&lt;td&gt;2&lt;/td&gt;&lt;td&gt;17&lt;/td&gt;&lt;td&gt;0.23&lt;/td&gt;&lt;td&gt;35&lt;/td&gt;&lt;td&gt;0.48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73&lt;/td&gt;&lt;td&gt;4&lt;/td&gt;&lt;td&gt;6&lt;/td&gt;&lt;td&gt;1&lt;/td&gt;&lt;td&gt;0&lt;/td&gt;&lt;td&gt;0&lt;/td&gt;&lt;td&gt;0&lt;/td&gt;&lt;td&gt;5&lt;/td&gt;&lt;td&gt;2&lt;/td&gt;&lt;td&gt;18&lt;/td&gt;&lt;td&gt;0.25&lt;/td&gt;&lt;td&gt;35&lt;/td&gt;&lt;td&gt;0.48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1</v>
      </c>
      <c r="K22">
        <v>2</v>
      </c>
      <c r="L22">
        <v>1</v>
      </c>
      <c r="M22">
        <v>0</v>
      </c>
      <c r="N22">
        <v>7</v>
      </c>
      <c r="O22" s="1">
        <f t="shared" si="0"/>
        <v>7.7777777777777779E-2</v>
      </c>
      <c r="P22">
        <v>3</v>
      </c>
      <c r="Q22">
        <v>3</v>
      </c>
      <c r="R22">
        <v>1</v>
      </c>
      <c r="S22">
        <v>1</v>
      </c>
      <c r="T22">
        <v>2</v>
      </c>
      <c r="U22">
        <v>0</v>
      </c>
      <c r="V22">
        <v>14</v>
      </c>
      <c r="W22">
        <v>3</v>
      </c>
      <c r="X22">
        <v>27</v>
      </c>
      <c r="Y22" s="1">
        <f t="shared" si="1"/>
        <v>0.3</v>
      </c>
      <c r="Z22">
        <v>34</v>
      </c>
      <c r="AA22" s="1">
        <f t="shared" si="2"/>
        <v>0.37777777777777777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3&lt;/td&gt;&lt;td&gt;0&lt;/td&gt;&lt;td&gt;0&lt;/td&gt;&lt;td&gt;0&lt;/td&gt;&lt;td&gt;1&lt;/td&gt;&lt;td&gt;2&lt;/td&gt;&lt;td&gt;1&lt;/td&gt;&lt;td&gt;0&lt;/td&gt;&lt;td&gt;7&lt;/td&gt;&lt;td&gt;0.08&lt;/td&gt;&lt;td&gt;34&lt;/td&gt;&lt;td&gt;0.38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3&lt;/td&gt;&lt;td&gt;3&lt;/td&gt;&lt;td&gt;1&lt;/td&gt;&lt;td&gt;1&lt;/td&gt;&lt;td&gt;2&lt;/td&gt;&lt;td&gt;0&lt;/td&gt;&lt;td&gt;14&lt;/td&gt;&lt;td&gt;3&lt;/td&gt;&lt;td&gt;27&lt;/td&gt;&lt;td&gt;0.30&lt;/td&gt;&lt;td&gt;34&lt;/td&gt;&lt;td&gt;0.38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79</v>
      </c>
      <c r="C24">
        <v>0</v>
      </c>
      <c r="D24">
        <v>0</v>
      </c>
      <c r="E24">
        <v>0</v>
      </c>
      <c r="F24">
        <v>5</v>
      </c>
      <c r="G24">
        <v>1</v>
      </c>
      <c r="H24">
        <v>1</v>
      </c>
      <c r="I24">
        <v>7</v>
      </c>
      <c r="J24">
        <v>0</v>
      </c>
      <c r="K24">
        <v>1</v>
      </c>
      <c r="L24">
        <v>1</v>
      </c>
      <c r="M24">
        <v>2</v>
      </c>
      <c r="N24">
        <v>17</v>
      </c>
      <c r="O24" s="1">
        <f t="shared" si="0"/>
        <v>0.21518987341772153</v>
      </c>
      <c r="P24">
        <v>8</v>
      </c>
      <c r="Q24">
        <v>6</v>
      </c>
      <c r="R24">
        <v>2</v>
      </c>
      <c r="S24">
        <v>0</v>
      </c>
      <c r="T24">
        <v>3</v>
      </c>
      <c r="U24">
        <v>1</v>
      </c>
      <c r="V24">
        <v>7</v>
      </c>
      <c r="W24">
        <v>3</v>
      </c>
      <c r="X24">
        <v>30</v>
      </c>
      <c r="Y24" s="1">
        <f t="shared" si="1"/>
        <v>0.379746835443038</v>
      </c>
      <c r="Z24">
        <v>47</v>
      </c>
      <c r="AA24" s="1">
        <f t="shared" si="2"/>
        <v>0.59493670886075944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79&lt;/td&gt;&lt;td&gt;0&lt;/td&gt;&lt;td&gt;0&lt;/td&gt;&lt;td&gt;0&lt;/td&gt;&lt;td&gt;5&lt;/td&gt;&lt;td&gt;1&lt;/td&gt;&lt;td&gt;1&lt;/td&gt;&lt;td&gt;7&lt;/td&gt;&lt;td&gt;0&lt;/td&gt;&lt;td&gt;1&lt;/td&gt;&lt;td&gt;1&lt;/td&gt;&lt;td&gt;2&lt;/td&gt;&lt;td&gt;17&lt;/td&gt;&lt;td&gt;0.22&lt;/td&gt;&lt;td&gt;47&lt;/td&gt;&lt;td&gt;0.59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79&lt;/td&gt;&lt;td&gt;8&lt;/td&gt;&lt;td&gt;6&lt;/td&gt;&lt;td&gt;2&lt;/td&gt;&lt;td&gt;0&lt;/td&gt;&lt;td&gt;3&lt;/td&gt;&lt;td&gt;1&lt;/td&gt;&lt;td&gt;7&lt;/td&gt;&lt;td&gt;3&lt;/td&gt;&lt;td&gt;30&lt;/td&gt;&lt;td&gt;0.38&lt;/td&gt;&lt;td&gt;47&lt;/td&gt;&lt;td&gt;0.59&lt;/td&gt;&lt;/tr&gt;</v>
      </c>
    </row>
    <row r="26" spans="1:46" x14ac:dyDescent="0.3">
      <c r="A26" t="str">
        <f>AC4</f>
        <v>&lt;tr&gt;&lt;td&gt;Makovicka&lt;/td&gt;&lt;td&gt;64&lt;/td&gt;&lt;td&gt;0&lt;/td&gt;&lt;td&gt;0&lt;/td&gt;&lt;td&gt;1&lt;/td&gt;&lt;td&gt;0&lt;/td&gt;&lt;td&gt;0&lt;/td&gt;&lt;td&gt;0&lt;/td&gt;&lt;td&gt;0&lt;/td&gt;&lt;td&gt;5&lt;/td&gt;&lt;td&gt;2&lt;/td&gt;&lt;td&gt;1&lt;/td&gt;&lt;td&gt;3&lt;/td&gt;&lt;td&gt;12&lt;/td&gt;&lt;td&gt;0.19&lt;/td&gt;&lt;td&gt;20&lt;/td&gt;&lt;td&gt;0.31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0.03&lt;/td&gt;&lt;td&gt;28&lt;/td&gt;&lt;td&gt;0.31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79&lt;/td&gt;&lt;td&gt;0&lt;/td&gt;&lt;td&gt;0&lt;/td&gt;&lt;td&gt;0&lt;/td&gt;&lt;td&gt;5&lt;/td&gt;&lt;td&gt;1&lt;/td&gt;&lt;td&gt;1&lt;/td&gt;&lt;td&gt;7&lt;/td&gt;&lt;td&gt;0&lt;/td&gt;&lt;td&gt;1&lt;/td&gt;&lt;td&gt;1&lt;/td&gt;&lt;td&gt;2&lt;/td&gt;&lt;td&gt;17&lt;/td&gt;&lt;td&gt;0.22&lt;/td&gt;&lt;td&gt;47&lt;/td&gt;&lt;td&gt;0.59&lt;/td&gt;&lt;/tr&gt;</v>
      </c>
    </row>
    <row r="30" spans="1:46" x14ac:dyDescent="0.3">
      <c r="A30" t="str">
        <f>AC12</f>
        <v>&lt;tr&gt;&lt;td&gt;Reda&lt;/td&gt;&lt;td&gt;50&lt;/td&gt;&lt;td&gt;0&lt;/td&gt;&lt;td&gt;0&lt;/td&gt;&lt;td&gt;0&lt;/td&gt;&lt;td&gt;7&lt;/td&gt;&lt;td&gt;0&lt;/td&gt;&lt;td&gt;0&lt;/td&gt;&lt;td&gt;1&lt;/td&gt;&lt;td&gt;0&lt;/td&gt;&lt;td&gt;0&lt;/td&gt;&lt;td&gt;1&lt;/td&gt;&lt;td&gt;0&lt;/td&gt;&lt;td&gt;9&lt;/td&gt;&lt;td&gt;0.18&lt;/td&gt;&lt;td&gt;25&lt;/td&gt;&lt;td&gt;0.50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3&lt;/td&gt;&lt;td&gt;0&lt;/td&gt;&lt;td&gt;0&lt;/td&gt;&lt;td&gt;0&lt;/td&gt;&lt;td&gt;1&lt;/td&gt;&lt;td&gt;2&lt;/td&gt;&lt;td&gt;1&lt;/td&gt;&lt;td&gt;0&lt;/td&gt;&lt;td&gt;7&lt;/td&gt;&lt;td&gt;0.08&lt;/td&gt;&lt;td&gt;34&lt;/td&gt;&lt;td&gt;0.38&lt;/td&gt;&lt;/tr&gt;</v>
      </c>
    </row>
    <row r="32" spans="1:46" x14ac:dyDescent="0.3">
      <c r="A32" t="str">
        <f>AC3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3" spans="1:1" x14ac:dyDescent="0.3">
      <c r="A33" t="str">
        <f>AC7</f>
        <v>&lt;tr&gt;&lt;td&gt;Donnelly&lt;/td&gt;&lt;td&gt;79&lt;/td&gt;&lt;td&gt;1&lt;/td&gt;&lt;td&gt;0&lt;/td&gt;&lt;td&gt;2&lt;/td&gt;&lt;td&gt;6&lt;/td&gt;&lt;td&gt;0&lt;/td&gt;&lt;td&gt;0&lt;/td&gt;&lt;td&gt;6&lt;/td&gt;&lt;td&gt;1&lt;/td&gt;&lt;td&gt;1&lt;/td&gt;&lt;td&gt;1&lt;/td&gt;&lt;td&gt;1&lt;/td&gt;&lt;td&gt;19&lt;/td&gt;&lt;td&gt;0.24&lt;/td&gt;&lt;td&gt;44&lt;/td&gt;&lt;td&gt;0.56&lt;/td&gt;&lt;/tr&gt;</v>
      </c>
    </row>
    <row r="34" spans="1:1" x14ac:dyDescent="0.3">
      <c r="A34" t="str">
        <f>AC8</f>
        <v>&lt;tr&gt;&lt;td&gt;Drozda&lt;/td&gt;&lt;td&gt;26&lt;/td&gt;&lt;td&gt;0&lt;/td&gt;&lt;td&gt;0&lt;/td&gt;&lt;td&gt;0&lt;/td&gt;&lt;td&gt;0&lt;/td&gt;&lt;td&gt;0&lt;/td&gt;&lt;td&gt;1&lt;/td&gt;&lt;td&gt;0&lt;/td&gt;&lt;td&gt;0&lt;/td&gt;&lt;td&gt;2&lt;/td&gt;&lt;td&gt;0&lt;/td&gt;&lt;td&gt;0&lt;/td&gt;&lt;td&gt;3&lt;/td&gt;&lt;td&gt;0.12&lt;/td&gt;&lt;td&gt;9&lt;/td&gt;&lt;td&gt;0.35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23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0.13&lt;/td&gt;&lt;td&gt;11&lt;/td&gt;&lt;td&gt;0.48&lt;/td&gt;&lt;/tr&gt;</v>
      </c>
    </row>
    <row r="38" spans="1:1" x14ac:dyDescent="0.3">
      <c r="A38" t="str">
        <f>AC21</f>
        <v>&lt;tr&gt;&lt;td&gt;Snowden&lt;/td&gt;&lt;td&gt;73&lt;/td&gt;&lt;td&gt;0&lt;/td&gt;&lt;td&gt;0&lt;/td&gt;&lt;td&gt;0&lt;/td&gt;&lt;td&gt;4&lt;/td&gt;&lt;td&gt;0&lt;/td&gt;&lt;td&gt;1&lt;/td&gt;&lt;td&gt;3&lt;/td&gt;&lt;td&gt;4&lt;/td&gt;&lt;td&gt;2&lt;/td&gt;&lt;td&gt;1&lt;/td&gt;&lt;td&gt;2&lt;/td&gt;&lt;td&gt;17&lt;/td&gt;&lt;td&gt;0.23&lt;/td&gt;&lt;td&gt;35&lt;/td&gt;&lt;td&gt;0.48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25&lt;/td&gt;&lt;td&gt;0&lt;/td&gt;&lt;td&gt;0&lt;/td&gt;&lt;td&gt;0&lt;/td&gt;&lt;td&gt;0&lt;/td&gt;&lt;td&gt;0&lt;/td&gt;&lt;td&gt;0&lt;/td&gt;&lt;td&gt;1&lt;/td&gt;&lt;td&gt;4&lt;/td&gt;&lt;td&gt;1&lt;/td&gt;&lt;td&gt;0&lt;/td&gt;&lt;td&gt;0&lt;/td&gt;&lt;td&gt;6&lt;/td&gt;&lt;td&gt;0.24&lt;/td&gt;&lt;td&gt;12&lt;/td&gt;&lt;td&gt;0.48&lt;/td&gt;&lt;/tr&gt;</v>
      </c>
    </row>
    <row r="42" spans="1:1" x14ac:dyDescent="0.3">
      <c r="A42" t="str">
        <f>AC10</f>
        <v>&lt;tr&gt;&lt;td&gt;Rudney&lt;/td&gt;&lt;td&gt;90&lt;/td&gt;&lt;td&gt;0&lt;/td&gt;&lt;td&gt;0&lt;/td&gt;&lt;td&gt;1&lt;/td&gt;&lt;td&gt;2&lt;/td&gt;&lt;td&gt;3&lt;/td&gt;&lt;td&gt;0&lt;/td&gt;&lt;td&gt;3&lt;/td&gt;&lt;td&gt;1&lt;/td&gt;&lt;td&gt;0&lt;/td&gt;&lt;td&gt;4&lt;/td&gt;&lt;td&gt;3&lt;/td&gt;&lt;td&gt;14&lt;/td&gt;&lt;td&gt;0.16&lt;/td&gt;&lt;td&gt;21&lt;/td&gt;&lt;td&gt;0.23&lt;/td&gt;&lt;/tr&gt;</v>
      </c>
    </row>
    <row r="43" spans="1:1" x14ac:dyDescent="0.3">
      <c r="A43" t="str">
        <f>AC2</f>
        <v>&lt;tr&gt;&lt;td&gt;Jones&lt;/td&gt;&lt;td&gt;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0.33&lt;/td&gt;&lt;/tr&gt;</v>
      </c>
    </row>
    <row r="44" spans="1:1" x14ac:dyDescent="0.3">
      <c r="A44" t="str">
        <f>AC19</f>
        <v>&lt;tr&gt;&lt;td&gt;Lewis&lt;/td&gt;&lt;td&gt;74&lt;/td&gt;&lt;td&gt;0&lt;/td&gt;&lt;td&gt;0&lt;/td&gt;&lt;td&gt;0&lt;/td&gt;&lt;td&gt;1&lt;/td&gt;&lt;td&gt;0&lt;/td&gt;&lt;td&gt;1&lt;/td&gt;&lt;td&gt;1&lt;/td&gt;&lt;td&gt;0&lt;/td&gt;&lt;td&gt;0&lt;/td&gt;&lt;td&gt;0&lt;/td&gt;&lt;td&gt;1&lt;/td&gt;&lt;td&gt;4&lt;/td&gt;&lt;td&gt;0.05&lt;/td&gt;&lt;td&gt;7&lt;/td&gt;&lt;td&gt;0.09&lt;/td&gt;&lt;/tr&gt;</v>
      </c>
    </row>
    <row r="45" spans="1:1" x14ac:dyDescent="0.3">
      <c r="A45" t="str">
        <f>AC17</f>
        <v>&lt;tr&gt;&lt;td&gt;Carpenter&lt;/td&gt;&lt;td&gt;65&lt;/td&gt;&lt;td&gt;0&lt;/td&gt;&lt;td&gt;0&lt;/td&gt;&lt;td&gt;0&lt;/td&gt;&lt;td&gt;2&lt;/td&gt;&lt;td&gt;1&lt;/td&gt;&lt;td&gt;2&lt;/td&gt;&lt;td&gt;2&lt;/td&gt;&lt;td&gt;0&lt;/td&gt;&lt;td&gt;0&lt;/td&gt;&lt;td&gt;0&lt;/td&gt;&lt;td&gt;0&lt;/td&gt;&lt;td&gt;6&lt;/td&gt;&lt;td&gt;0.09&lt;/td&gt;&lt;td&gt;16&lt;/td&gt;&lt;td&gt;0.25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54&lt;/td&gt;&lt;td&gt;0&lt;/td&gt;&lt;td&gt;0&lt;/td&gt;&lt;td&gt;0&lt;/td&gt;&lt;td&gt;2&lt;/td&gt;&lt;td&gt;0&lt;/td&gt;&lt;td&gt;0&lt;/td&gt;&lt;td&gt;2&lt;/td&gt;&lt;td&gt;4&lt;/td&gt;&lt;td&gt;3&lt;/td&gt;&lt;td&gt;2&lt;/td&gt;&lt;td&gt;1&lt;/td&gt;&lt;td&gt;14&lt;/td&gt;&lt;td&gt;0.26&lt;/td&gt;&lt;td&gt;17&lt;/td&gt;&lt;td&gt;0.31&lt;/td&gt;&lt;/tr&gt;</v>
      </c>
    </row>
    <row r="48" spans="1:1" x14ac:dyDescent="0.3">
      <c r="A48" t="str">
        <f>AC6</f>
        <v>&lt;tr&gt;&lt;td&gt;Wistrom&lt;/td&gt;&lt;td&gt;3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0" spans="1:1" x14ac:dyDescent="0.3">
      <c r="A50" t="str">
        <f>AT4</f>
        <v>&lt;tr&gt;&lt;td&gt;Makovicka&lt;/td&gt;&lt;td&gt;64&lt;/td&gt;&lt;td&gt;0&lt;/td&gt;&lt;td&gt;0&lt;/td&gt;&lt;td&gt;0&lt;/td&gt;&lt;td&gt;0&lt;/td&gt;&lt;td&gt;0&lt;/td&gt;&lt;td&gt;2&lt;/td&gt;&lt;td&gt;5&lt;/td&gt;&lt;td&gt;1&lt;/td&gt;&lt;td&gt;8&lt;/td&gt;&lt;td&gt;0.13&lt;/td&gt;&lt;td&gt;20&lt;/td&gt;&lt;td&gt;0.31&lt;/td&gt;&lt;/tr&gt;</v>
      </c>
    </row>
    <row r="51" spans="1:1" x14ac:dyDescent="0.3">
      <c r="A51" t="str">
        <f>AT15</f>
        <v>&lt;tr&gt;&lt;td&gt;Williams&lt;/td&gt;&lt;td&gt;90&lt;/td&gt;&lt;td&gt;3&lt;/td&gt;&lt;td&gt;8&lt;/td&gt;&lt;td&gt;1&lt;/td&gt;&lt;td&gt;1&lt;/td&gt;&lt;td&gt;1&lt;/td&gt;&lt;td&gt;0&lt;/td&gt;&lt;td&gt;6&lt;/td&gt;&lt;td&gt;5&lt;/td&gt;&lt;td&gt;25&lt;/td&gt;&lt;td&gt;0.28&lt;/td&gt;&lt;td&gt;28&lt;/td&gt;&lt;td&gt;0.31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79&lt;/td&gt;&lt;td&gt;8&lt;/td&gt;&lt;td&gt;6&lt;/td&gt;&lt;td&gt;2&lt;/td&gt;&lt;td&gt;0&lt;/td&gt;&lt;td&gt;3&lt;/td&gt;&lt;td&gt;1&lt;/td&gt;&lt;td&gt;7&lt;/td&gt;&lt;td&gt;3&lt;/td&gt;&lt;td&gt;30&lt;/td&gt;&lt;td&gt;0.38&lt;/td&gt;&lt;td&gt;47&lt;/td&gt;&lt;td&gt;0.59&lt;/td&gt;&lt;/tr&gt;</v>
      </c>
    </row>
    <row r="54" spans="1:1" x14ac:dyDescent="0.3">
      <c r="A54" t="str">
        <f>AT12</f>
        <v>&lt;tr&gt;&lt;td&gt;Reda&lt;/td&gt;&lt;td&gt;50&lt;/td&gt;&lt;td&gt;6&lt;/td&gt;&lt;td&gt;4&lt;/td&gt;&lt;td&gt;3&lt;/td&gt;&lt;td&gt;1&lt;/td&gt;&lt;td&gt;0&lt;/td&gt;&lt;td&gt;0&lt;/td&gt;&lt;td&gt;0&lt;/td&gt;&lt;td&gt;2&lt;/td&gt;&lt;td&gt;16&lt;/td&gt;&lt;td&gt;0.32&lt;/td&gt;&lt;td&gt;25&lt;/td&gt;&lt;td&gt;0.50&lt;/td&gt;&lt;/tr&gt;</v>
      </c>
    </row>
    <row r="55" spans="1:1" x14ac:dyDescent="0.3">
      <c r="A55" t="str">
        <f>AT22</f>
        <v>&lt;tr&gt;&lt;td&gt;Borer&lt;/td&gt;&lt;td&gt;90&lt;/td&gt;&lt;td&gt;3&lt;/td&gt;&lt;td&gt;3&lt;/td&gt;&lt;td&gt;1&lt;/td&gt;&lt;td&gt;1&lt;/td&gt;&lt;td&gt;2&lt;/td&gt;&lt;td&gt;0&lt;/td&gt;&lt;td&gt;14&lt;/td&gt;&lt;td&gt;3&lt;/td&gt;&lt;td&gt;27&lt;/td&gt;&lt;td&gt;0.30&lt;/td&gt;&lt;td&gt;34&lt;/td&gt;&lt;td&gt;0.38&lt;/td&gt;&lt;/tr&gt;</v>
      </c>
    </row>
    <row r="56" spans="1:1" x14ac:dyDescent="0.3">
      <c r="A56" t="str">
        <f>AT3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7" spans="1:1" x14ac:dyDescent="0.3">
      <c r="A57" t="str">
        <f>AT7</f>
        <v>&lt;tr&gt;&lt;td&gt;Donnelly&lt;/td&gt;&lt;td&gt;79&lt;/td&gt;&lt;td&gt;1&lt;/td&gt;&lt;td&gt;5&lt;/td&gt;&lt;td&gt;2&lt;/td&gt;&lt;td&gt;1&lt;/td&gt;&lt;td&gt;0&lt;/td&gt;&lt;td&gt;2&lt;/td&gt;&lt;td&gt;7&lt;/td&gt;&lt;td&gt;7&lt;/td&gt;&lt;td&gt;25&lt;/td&gt;&lt;td&gt;0.32&lt;/td&gt;&lt;td&gt;44&lt;/td&gt;&lt;td&gt;0.56&lt;/td&gt;&lt;/tr&gt;</v>
      </c>
    </row>
    <row r="58" spans="1:1" x14ac:dyDescent="0.3">
      <c r="A58" t="str">
        <f>AT8</f>
        <v>&lt;tr&gt;&lt;td&gt;Drozda&lt;/td&gt;&lt;td&gt;26&lt;/td&gt;&lt;td&gt;1&lt;/td&gt;&lt;td&gt;0&lt;/td&gt;&lt;td&gt;1&lt;/td&gt;&lt;td&gt;0&lt;/td&gt;&lt;td&gt;0&lt;/td&gt;&lt;td&gt;0&lt;/td&gt;&lt;td&gt;0&lt;/td&gt;&lt;td&gt;4&lt;/td&gt;&lt;td&gt;6&lt;/td&gt;&lt;td&gt;0.23&lt;/td&gt;&lt;td&gt;9&lt;/td&gt;&lt;td&gt;0.35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23&lt;/td&gt;&lt;td&gt;0&lt;/td&gt;&lt;td&gt;3&lt;/td&gt;&lt;td&gt;0&lt;/td&gt;&lt;td&gt;0&lt;/td&gt;&lt;td&gt;1&lt;/td&gt;&lt;td&gt;1&lt;/td&gt;&lt;td&gt;2&lt;/td&gt;&lt;td&gt;1&lt;/td&gt;&lt;td&gt;8&lt;/td&gt;&lt;td&gt;0.35&lt;/td&gt;&lt;td&gt;11&lt;/td&gt;&lt;td&gt;0.48&lt;/td&gt;&lt;/tr&gt;</v>
      </c>
    </row>
    <row r="62" spans="1:1" x14ac:dyDescent="0.3">
      <c r="A62" t="str">
        <f>AT21</f>
        <v>&lt;tr&gt;&lt;td&gt;Snowden&lt;/td&gt;&lt;td&gt;73&lt;/td&gt;&lt;td&gt;4&lt;/td&gt;&lt;td&gt;6&lt;/td&gt;&lt;td&gt;1&lt;/td&gt;&lt;td&gt;0&lt;/td&gt;&lt;td&gt;0&lt;/td&gt;&lt;td&gt;0&lt;/td&gt;&lt;td&gt;5&lt;/td&gt;&lt;td&gt;2&lt;/td&gt;&lt;td&gt;18&lt;/td&gt;&lt;td&gt;0.25&lt;/td&gt;&lt;td&gt;35&lt;/td&gt;&lt;td&gt;0.48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25&lt;/td&gt;&lt;td&gt;0&lt;/td&gt;&lt;td&gt;1&lt;/td&gt;&lt;td&gt;2&lt;/td&gt;&lt;td&gt;1&lt;/td&gt;&lt;td&gt;0&lt;/td&gt;&lt;td&gt;0&lt;/td&gt;&lt;td&gt;0&lt;/td&gt;&lt;td&gt;2&lt;/td&gt;&lt;td&gt;6&lt;/td&gt;&lt;td&gt;0.24&lt;/td&gt;&lt;td&gt;12&lt;/td&gt;&lt;td&gt;0.48&lt;/td&gt;&lt;/tr&gt;</v>
      </c>
    </row>
    <row r="66" spans="1:23" x14ac:dyDescent="0.3">
      <c r="A66" t="str">
        <f>AT10</f>
        <v>&lt;tr&gt;&lt;td&gt;Rudney&lt;/td&gt;&lt;td&gt;90&lt;/td&gt;&lt;td&gt;2&lt;/td&gt;&lt;td&gt;0&lt;/td&gt;&lt;td&gt;3&lt;/td&gt;&lt;td&gt;0&lt;/td&gt;&lt;td&gt;0&lt;/td&gt;&lt;td&gt;0&lt;/td&gt;&lt;td&gt;0&lt;/td&gt;&lt;td&gt;2&lt;/td&gt;&lt;td&gt;7&lt;/td&gt;&lt;td&gt;0.08&lt;/td&gt;&lt;td&gt;21&lt;/td&gt;&lt;td&gt;0.23&lt;/td&gt;&lt;/tr&gt;</v>
      </c>
    </row>
    <row r="67" spans="1:23" x14ac:dyDescent="0.3">
      <c r="A67" t="str">
        <f>AT2</f>
        <v>&lt;tr&gt;&lt;td&gt;Jones&lt;/td&gt;&lt;td&gt;6&lt;/td&gt;&lt;td&gt;0&lt;/td&gt;&lt;td&gt;1&lt;/td&gt;&lt;td&gt;0&lt;/td&gt;&lt;td&gt;0&lt;/td&gt;&lt;td&gt;0&lt;/td&gt;&lt;td&gt;0&lt;/td&gt;&lt;td&gt;0&lt;/td&gt;&lt;td&gt;1&lt;/td&gt;&lt;td&gt;2&lt;/td&gt;&lt;td&gt;0.33&lt;/td&gt;&lt;td&gt;2&lt;/td&gt;&lt;td&gt;0.33&lt;/td&gt;&lt;/tr&gt;</v>
      </c>
    </row>
    <row r="68" spans="1:23" x14ac:dyDescent="0.3">
      <c r="A68" t="str">
        <f>AT19</f>
        <v>&lt;tr&gt;&lt;td&gt;Lewis&lt;/td&gt;&lt;td&gt;74&lt;/td&gt;&lt;td&gt;1&lt;/td&gt;&lt;td&gt;1&lt;/td&gt;&lt;td&gt;1&lt;/td&gt;&lt;td&gt;0&lt;/td&gt;&lt;td&gt;0&lt;/td&gt;&lt;td&gt;0&lt;/td&gt;&lt;td&gt;0&lt;/td&gt;&lt;td&gt;0&lt;/td&gt;&lt;td&gt;3&lt;/td&gt;&lt;td&gt;0.04&lt;/td&gt;&lt;td&gt;7&lt;/td&gt;&lt;td&gt;0.09&lt;/td&gt;&lt;/tr&gt;</v>
      </c>
    </row>
    <row r="69" spans="1:23" x14ac:dyDescent="0.3">
      <c r="A69" t="str">
        <f>AT17</f>
        <v>&lt;tr&gt;&lt;td&gt;Carpenter&lt;/td&gt;&lt;td&gt;65&lt;/td&gt;&lt;td&gt;0&lt;/td&gt;&lt;td&gt;2&lt;/td&gt;&lt;td&gt;0&lt;/td&gt;&lt;td&gt;3&lt;/td&gt;&lt;td&gt;1&lt;/td&gt;&lt;td&gt;0&lt;/td&gt;&lt;td&gt;4&lt;/td&gt;&lt;td&gt;0&lt;/td&gt;&lt;td&gt;10&lt;/td&gt;&lt;td&gt;0.15&lt;/td&gt;&lt;td&gt;16&lt;/td&gt;&lt;td&gt;0.25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54&lt;/td&gt;&lt;td&gt;1&lt;/td&gt;&lt;td&gt;0&lt;/td&gt;&lt;td&gt;1&lt;/td&gt;&lt;td&gt;0&lt;/td&gt;&lt;td&gt;0&lt;/td&gt;&lt;td&gt;0&lt;/td&gt;&lt;td&gt;0&lt;/td&gt;&lt;td&gt;1&lt;/td&gt;&lt;td&gt;3&lt;/td&gt;&lt;td&gt;0.06&lt;/td&gt;&lt;td&gt;17&lt;/td&gt;&lt;td&gt;0.31&lt;/td&gt;&lt;/tr&gt;</v>
      </c>
    </row>
    <row r="72" spans="1:23" x14ac:dyDescent="0.3">
      <c r="A72" t="str">
        <f>AT6</f>
        <v>&lt;tr&gt;&lt;td&gt;Wistrom&lt;/td&gt;&lt;td&gt;3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64,</v>
      </c>
      <c r="B76" t="str">
        <f>"minutes: "&amp;$B$15&amp;","</f>
        <v>minutes: 90,</v>
      </c>
      <c r="C76" t="str">
        <f>"minutes: "&amp;$B$9&amp;","</f>
        <v>minutes: 0,</v>
      </c>
      <c r="D76" t="str">
        <f>"minutes: "&amp;$B$24&amp;","</f>
        <v>minutes: 79,</v>
      </c>
      <c r="E76" t="str">
        <f>"minutes: "&amp;$B$12&amp;","</f>
        <v>minutes: 50,</v>
      </c>
      <c r="F76" t="str">
        <f>"minutes: "&amp;$B$22&amp;","</f>
        <v>minutes: 90,</v>
      </c>
      <c r="G76" t="str">
        <f>"minutes: "&amp;$B$3&amp;","</f>
        <v>minutes: 0,</v>
      </c>
      <c r="H76" t="str">
        <f>"minutes: "&amp;$B$7&amp;","</f>
        <v>minutes: 79,</v>
      </c>
      <c r="I76" t="str">
        <f>"minutes: "&amp;$B$8&amp;","</f>
        <v>minutes: 26,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23,</v>
      </c>
      <c r="M76" t="str">
        <f>"minutes: "&amp;$B$21&amp;","</f>
        <v>minutes: 73,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25,</v>
      </c>
      <c r="Q76" t="str">
        <f>"minutes: "&amp;$B$10&amp;","</f>
        <v>minutes: 90,</v>
      </c>
      <c r="R76" t="str">
        <f>"minutes: "&amp;$B$2&amp;","</f>
        <v>minutes: 6,</v>
      </c>
      <c r="S76" t="str">
        <f>"minutes: "&amp;$B$19&amp;","</f>
        <v>minutes: 74,</v>
      </c>
      <c r="T76" t="str">
        <f>"minutes: "&amp;$B$17&amp;","</f>
        <v>minutes: 65,</v>
      </c>
      <c r="U76" t="str">
        <f>"minutes: "&amp;$B$18&amp;","</f>
        <v>minutes: 0,</v>
      </c>
      <c r="V76" t="str">
        <f>"minutes: "&amp;$B$16&amp;","</f>
        <v>minutes: 54,</v>
      </c>
      <c r="W76" t="str">
        <f>"minutes: "&amp;$B$6&amp;","</f>
        <v>minutes: 3,</v>
      </c>
    </row>
    <row r="77" spans="1:23" x14ac:dyDescent="0.3">
      <c r="A77" t="str">
        <f>"totalActions: "&amp;$Z$4&amp;","</f>
        <v>totalActions: 20,</v>
      </c>
      <c r="B77" t="str">
        <f>"totalActions: "&amp;$Z$15&amp;","</f>
        <v>totalActions: 28,</v>
      </c>
      <c r="C77" t="str">
        <f>"totalActions: "&amp;$Z$9&amp;","</f>
        <v>totalActions: 0,</v>
      </c>
      <c r="D77" t="str">
        <f>"totalActions: "&amp;$Z$24&amp;","</f>
        <v>totalActions: 47,</v>
      </c>
      <c r="E77" t="str">
        <f>"totalActions: "&amp;$Z$12&amp;","</f>
        <v>totalActions: 25,</v>
      </c>
      <c r="F77" t="str">
        <f>"totalActions: "&amp;$Z$22&amp;","</f>
        <v>totalActions: 34,</v>
      </c>
      <c r="G77" t="str">
        <f>"totalActions: "&amp;$Z$3&amp;","</f>
        <v>totalActions: 0,</v>
      </c>
      <c r="H77" t="str">
        <f>"totalActions: "&amp;$Z$7&amp;","</f>
        <v>totalActions: 44,</v>
      </c>
      <c r="I77" t="str">
        <f>"totalActions: "&amp;$Z$8&amp;","</f>
        <v>totalActions: 9,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11,</v>
      </c>
      <c r="M77" t="str">
        <f>"totalActions: "&amp;$Z$21&amp;","</f>
        <v>totalActions: 35,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12,</v>
      </c>
      <c r="Q77" t="str">
        <f>"totalActions: "&amp;$Z$10&amp;","</f>
        <v>totalActions: 21,</v>
      </c>
      <c r="R77" t="str">
        <f>"totalActions: "&amp;$Z$2&amp;","</f>
        <v>totalActions: 2,</v>
      </c>
      <c r="S77" t="str">
        <f>"totalActions: "&amp;$Z$19&amp;","</f>
        <v>totalActions: 7,</v>
      </c>
      <c r="T77" t="str">
        <f>"totalActions: "&amp;$Z$17&amp;","</f>
        <v>totalActions: 16,</v>
      </c>
      <c r="U77" t="str">
        <f>"totalActions: "&amp;$Z$18&amp;","</f>
        <v>totalActions: 0,</v>
      </c>
      <c r="V77" t="str">
        <f>"totalActions: "&amp;$Z$16&amp;","</f>
        <v>totalActions: 17,</v>
      </c>
      <c r="W77" t="str">
        <f>"totalActions: "&amp;$Z$6&amp;","</f>
        <v>totalActions: 0,</v>
      </c>
    </row>
    <row r="78" spans="1:23" x14ac:dyDescent="0.3">
      <c r="A78" t="str">
        <f>"actionsPerMinute: "&amp;TEXT($AA$4,"0.00")&amp;","</f>
        <v>actionsPerMinute: 0.31,</v>
      </c>
      <c r="B78" t="str">
        <f>"actionsPerMinute: "&amp;TEXT($AA$15,"0.00")&amp;","</f>
        <v>actionsPerMinute: 0.31,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0.59,</v>
      </c>
      <c r="E78" t="str">
        <f>"actionsPerMinute: "&amp;TEXT($AA$12,"0.00")&amp;","</f>
        <v>actionsPerMinute: 0.50,</v>
      </c>
      <c r="F78" t="str">
        <f>"actionsPerMinute: "&amp;TEXT($AA$22,"0.00")&amp;","</f>
        <v>actionsPerMinute: 0.38,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0.56,</v>
      </c>
      <c r="I78" t="str">
        <f>"actionsPerMinute: "&amp;TEXT($AA$8,"0.00")&amp;","</f>
        <v>actionsPerMinute: 0.35,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0.48,</v>
      </c>
      <c r="M78" t="str">
        <f>"actionsPerMinute: "&amp;TEXT($AA$21,"0.00")&amp;","</f>
        <v>actionsPerMinute: 0.48,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0.48,</v>
      </c>
      <c r="Q78" t="str">
        <f>"actionsPerMinute: "&amp;TEXT($AA$10,"0.00")&amp;","</f>
        <v>actionsPerMinute: 0.23,</v>
      </c>
      <c r="R78" t="str">
        <f>"actionsPerMinute: "&amp;TEXT($AA$2,"0.00")&amp;","</f>
        <v>actionsPerMinute: 0.33,</v>
      </c>
      <c r="S78" t="str">
        <f>"actionsPerMinute: "&amp;TEXT($AA$19,"0.00")&amp;","</f>
        <v>actionsPerMinute: 0.09,</v>
      </c>
      <c r="T78" t="str">
        <f>"actionsPerMinute: "&amp;TEXT($AA$17,"0.00")&amp;","</f>
        <v>actionsPerMinute: 0.25,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0.31,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12,</v>
      </c>
      <c r="B81" t="str">
        <f>"totalActions: "&amp;$N$15&amp;","</f>
        <v>totalActions: 3,</v>
      </c>
      <c r="C81" t="str">
        <f>"totalActions: "&amp;$N$9&amp;","</f>
        <v>totalActions: 0,</v>
      </c>
      <c r="D81" t="str">
        <f>"totalActions: "&amp;$N$24&amp;","</f>
        <v>totalActions: 17,</v>
      </c>
      <c r="E81" t="str">
        <f>"totalActions: "&amp;$N$12&amp;","</f>
        <v>totalActions: 9,</v>
      </c>
      <c r="F81" t="str">
        <f>"totalActions: "&amp;$N$22&amp;","</f>
        <v>totalActions: 7,</v>
      </c>
      <c r="G81" t="str">
        <f>"totalActions: "&amp;$N$3&amp;","</f>
        <v>totalActions: 0,</v>
      </c>
      <c r="H81" t="str">
        <f>"totalActions: "&amp;$N$7&amp;","</f>
        <v>totalActions: 19,</v>
      </c>
      <c r="I81" t="str">
        <f>"totalActions: "&amp;$N$8&amp;","</f>
        <v>totalActions: 3,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3,</v>
      </c>
      <c r="M81" t="str">
        <f>"totalActions: "&amp;$N$21&amp;","</f>
        <v>totalActions: 17,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6,</v>
      </c>
      <c r="Q81" t="str">
        <f>"totalActions: "&amp;$N$10&amp;","</f>
        <v>totalActions: 14,</v>
      </c>
      <c r="R81" t="str">
        <f>"totalActions: "&amp;$N$2&amp;","</f>
        <v>totalActions: 0,</v>
      </c>
      <c r="S81" t="str">
        <f>"totalActions: "&amp;$N$19&amp;","</f>
        <v>totalActions: 4,</v>
      </c>
      <c r="T81" t="str">
        <f>"totalActions: "&amp;$N$17&amp;","</f>
        <v>totalActions: 6,</v>
      </c>
      <c r="U81" t="str">
        <f>"totalActions: "&amp;$N$18&amp;","</f>
        <v>totalActions: 0,</v>
      </c>
      <c r="V81" t="str">
        <f>"totalActions: "&amp;$N$16&amp;","</f>
        <v>totalActions: 14,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0.19,</v>
      </c>
      <c r="B82" t="str">
        <f>"actionsPerMinute: "&amp;TEXT($O$15,"0.00")&amp;","</f>
        <v>actionsPerMinute: 0.03,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0.22,</v>
      </c>
      <c r="E82" t="str">
        <f>"actionsPerMinute: "&amp;TEXT($O$12,"0.00")&amp;","</f>
        <v>actionsPerMinute: 0.18,</v>
      </c>
      <c r="F82" t="str">
        <f>"actionsPerMinute: "&amp;TEXT($O$22,"0.00")&amp;","</f>
        <v>actionsPerMinute: 0.08,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0.24,</v>
      </c>
      <c r="I82" t="str">
        <f>"actionsPerMinute: "&amp;TEXT($O$8,"0.00")&amp;","</f>
        <v>actionsPerMinute: 0.12,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0.13,</v>
      </c>
      <c r="M82" t="str">
        <f>"actionsPerMinute: "&amp;TEXT($O$21,"0.00")&amp;","</f>
        <v>actionsPerMinute: 0.23,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0.24,</v>
      </c>
      <c r="Q82" t="str">
        <f>"actionsPerMinute: "&amp;TEXT($O$10,"0.00")&amp;","</f>
        <v>actionsPerMinute: 0.16,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0.05,</v>
      </c>
      <c r="T82" t="str">
        <f>"actionsPerMinute: "&amp;TEXT($O$17,"0.00")&amp;","</f>
        <v>actionsPerMinute: 0.09,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0.26,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1,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1,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2,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1,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1,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3,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1,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1,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1,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1,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1,</v>
      </c>
      <c r="T87" t="str">
        <f>"effectiveCrosses: "&amp;$H$17&amp;","</f>
        <v>effectiveCrosses: 2,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0,</v>
      </c>
      <c r="C88" t="str">
        <f>"oneVOnes: "&amp;$I$9&amp;","</f>
        <v>oneVOnes: 0,</v>
      </c>
      <c r="D88" t="str">
        <f>"oneVOnes: "&amp;$I$24&amp;","</f>
        <v>oneVOnes: 7,</v>
      </c>
      <c r="E88" t="str">
        <f>"oneVOnes: "&amp;$I$12&amp;","</f>
        <v>oneVOnes: 1,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6,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3,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1,</v>
      </c>
      <c r="Q88" t="str">
        <f>"oneVOnes: "&amp;$I$10&amp;","</f>
        <v>oneVOnes: 3,</v>
      </c>
      <c r="R88" t="str">
        <f>"oneVOnes: "&amp;$I$2&amp;","</f>
        <v>oneVOnes: 0,</v>
      </c>
      <c r="S88" t="str">
        <f>"oneVOnes: "&amp;$I$19&amp;","</f>
        <v>oneVOnes: 1,</v>
      </c>
      <c r="T88" t="str">
        <f>"oneVOnes: "&amp;$I$17&amp;","</f>
        <v>oneVOnes: 2,</v>
      </c>
      <c r="U88" t="str">
        <f>"oneVOnes: "&amp;$I$18&amp;","</f>
        <v>oneVOnes: 0,</v>
      </c>
      <c r="V88" t="str">
        <f>"oneVOnes: "&amp;$I$16&amp;","</f>
        <v>oneVOnes: 2,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5,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1,</v>
      </c>
      <c r="G89" t="str">
        <f>"headers: "&amp;$J$3&amp;","</f>
        <v>headers: 0,</v>
      </c>
      <c r="H89" t="str">
        <f>"headers: "&amp;$J$7&amp;","</f>
        <v>headers: 1,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4,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4,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0,</v>
      </c>
      <c r="T89" t="str">
        <f>"headers: "&amp;$J$17&amp;","</f>
        <v>headers: 0,</v>
      </c>
      <c r="U89" t="str">
        <f>"headers: "&amp;$J$18&amp;","</f>
        <v>headers: 0,</v>
      </c>
      <c r="V89" t="str">
        <f>"headers: "&amp;$J$16&amp;","</f>
        <v>headers: 4,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2,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1,</v>
      </c>
      <c r="E90" t="str">
        <f>"spEarned: "&amp;$K$12&amp;","</f>
        <v>spEarned: 0,</v>
      </c>
      <c r="F90" t="str">
        <f>"spEarned: "&amp;$K$22&amp;","</f>
        <v>spEarned: 2,</v>
      </c>
      <c r="G90" t="str">
        <f>"spEarned: "&amp;$K$3&amp;","</f>
        <v>spEarned: 0,</v>
      </c>
      <c r="H90" t="str">
        <f>"spEarned: "&amp;$K$7&amp;","</f>
        <v>spEarned: 1,</v>
      </c>
      <c r="I90" t="str">
        <f>"spEarned: "&amp;$K$8&amp;","</f>
        <v>spEarned: 2,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2,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1,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0,</v>
      </c>
      <c r="T90" t="str">
        <f>"spEarned: "&amp;$K$17&amp;","</f>
        <v>spEarned: 0,</v>
      </c>
      <c r="U90" t="str">
        <f>"spEarned: "&amp;$K$18&amp;","</f>
        <v>spEarned: 0,</v>
      </c>
      <c r="V90" t="str">
        <f>"spEarned: "&amp;$K$16&amp;","</f>
        <v>spEarned: 3,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3,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2,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1,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2,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3,</v>
      </c>
      <c r="R91" t="str">
        <f>"onTargetShots: "&amp;$M$2&amp;","</f>
        <v>onTargetShots: 0,</v>
      </c>
      <c r="S91" t="str">
        <f>"onTargetShots: "&amp;$M$19&amp;","</f>
        <v>onTargetShots: 1,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1,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1,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1,</v>
      </c>
      <c r="E92" t="str">
        <f>"offTargetShots: "&amp;$L$12&amp;","</f>
        <v>offTargetShots: 1,</v>
      </c>
      <c r="F92" t="str">
        <f>"offTargetShots: "&amp;$L$22&amp;","</f>
        <v>offTargetShots: 1,</v>
      </c>
      <c r="G92" t="str">
        <f>"offTargetShots: "&amp;$L$3&amp;","</f>
        <v>offTargetShots: 0,</v>
      </c>
      <c r="H92" t="str">
        <f>"offTargetShots: "&amp;$L$7&amp;","</f>
        <v>offTargetShots: 1,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1,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4,</v>
      </c>
      <c r="R92" t="str">
        <f>"offTargetShots: "&amp;$L$2&amp;","</f>
        <v>offTargetShots: 0,</v>
      </c>
      <c r="S92" t="str">
        <f>"offTargetShots: "&amp;$L$19&amp;","</f>
        <v>offTargetShots: 0,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2,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8,</v>
      </c>
      <c r="B96" t="str">
        <f>"totalActions: "&amp;$X$15&amp;","</f>
        <v>totalActions: 25,</v>
      </c>
      <c r="C96" t="str">
        <f>"totalActions: "&amp;$X$9&amp;","</f>
        <v>totalActions: 0,</v>
      </c>
      <c r="D96" t="str">
        <f>"totalActions: "&amp;$X$24&amp;","</f>
        <v>totalActions: 30,</v>
      </c>
      <c r="E96" t="str">
        <f>"totalActions: "&amp;$X$12&amp;","</f>
        <v>totalActions: 16,</v>
      </c>
      <c r="F96" t="str">
        <f>"totalActions: "&amp;$X$22&amp;","</f>
        <v>totalActions: 27,</v>
      </c>
      <c r="G96" t="str">
        <f>"totalActions: "&amp;$X$3&amp;","</f>
        <v>totalActions: 0,</v>
      </c>
      <c r="H96" t="str">
        <f>"totalActions: "&amp;$X$7&amp;","</f>
        <v>totalActions: 25,</v>
      </c>
      <c r="I96" t="str">
        <f>"totalActions: "&amp;$X$8&amp;","</f>
        <v>totalActions: 6,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8,</v>
      </c>
      <c r="M96" t="str">
        <f>"totalActions: "&amp;$X$21&amp;","</f>
        <v>totalActions: 18,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6,</v>
      </c>
      <c r="Q96" t="str">
        <f>"totalActions: "&amp;$X$10&amp;","</f>
        <v>totalActions: 7,</v>
      </c>
      <c r="R96" t="str">
        <f>"totalActions: "&amp;$X$2&amp;","</f>
        <v>totalActions: 2,</v>
      </c>
      <c r="S96" t="str">
        <f>"totalActions: "&amp;$X$19&amp;","</f>
        <v>totalActions: 3,</v>
      </c>
      <c r="T96" t="str">
        <f>"totalActions: "&amp;$X$17&amp;","</f>
        <v>totalActions: 10,</v>
      </c>
      <c r="U96" t="str">
        <f>"totalActions: "&amp;$X$18&amp;","</f>
        <v>totalActions: 0,</v>
      </c>
      <c r="V96" t="str">
        <f>"totalActions: "&amp;$X$16&amp;","</f>
        <v>totalActions: 3,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0.13,</v>
      </c>
      <c r="B97" t="str">
        <f>"actionsPerMinute: "&amp;TEXT($Y$15,"0.00")&amp;","</f>
        <v>actionsPerMinute: 0.28,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0.38,</v>
      </c>
      <c r="E97" t="str">
        <f>"actionsPerMinute: "&amp;TEXT($Y$12,"0.00")&amp;","</f>
        <v>actionsPerMinute: 0.32,</v>
      </c>
      <c r="F97" t="str">
        <f>"actionsPerMinute: "&amp;TEXT($Y$22,"0.00")&amp;","</f>
        <v>actionsPerMinute: 0.30,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0.32,</v>
      </c>
      <c r="I97" t="str">
        <f>"actionsPerMinute: "&amp;TEXT($Y$8,"0.00")&amp;","</f>
        <v>actionsPerMinute: 0.23,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0.35,</v>
      </c>
      <c r="M97" t="str">
        <f>"actionsPerMinute: "&amp;TEXT($Y$21,"0.00")&amp;","</f>
        <v>actionsPerMinute: 0.25,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0.24,</v>
      </c>
      <c r="Q97" t="str">
        <f>"actionsPerMinute: "&amp;TEXT($Y$10,"0.00")&amp;","</f>
        <v>actionsPerMinute: 0.08,</v>
      </c>
      <c r="R97" t="str">
        <f>"actionsPerMinute: "&amp;TEXT($Y$2,"0.00")&amp;","</f>
        <v>actionsPerMinute: 0.33,</v>
      </c>
      <c r="S97" t="str">
        <f>"actionsPerMinute: "&amp;TEXT($Y$19,"0.00")&amp;","</f>
        <v>actionsPerMinute: 0.04,</v>
      </c>
      <c r="T97" t="str">
        <f>"actionsPerMinute: "&amp;TEXT($Y$17,"0.00")&amp;","</f>
        <v>actionsPerMinute: 0.15,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0.06,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0,</v>
      </c>
      <c r="B98" t="str">
        <f>"tackles: "&amp;$P$15&amp;","</f>
        <v>tackles: 3,</v>
      </c>
      <c r="C98" t="str">
        <f>"tackles: "&amp;$P$9&amp;","</f>
        <v>tackles: 0,</v>
      </c>
      <c r="D98" t="str">
        <f>"tackles: "&amp;$P$24&amp;","</f>
        <v>tackles: 8,</v>
      </c>
      <c r="E98" t="str">
        <f>"tackles: "&amp;$P$12&amp;","</f>
        <v>tackles: 6,</v>
      </c>
      <c r="F98" t="str">
        <f>"tackles: "&amp;$P$22&amp;","</f>
        <v>tackles: 3,</v>
      </c>
      <c r="G98" t="str">
        <f>"tackles: "&amp;$P$3&amp;","</f>
        <v>tackles: 0,</v>
      </c>
      <c r="H98" t="str">
        <f>"tackles: "&amp;$P$7&amp;","</f>
        <v>tackles: 1,</v>
      </c>
      <c r="I98" t="str">
        <f>"tackles: "&amp;$P$8&amp;","</f>
        <v>tackles: 1,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4,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2,</v>
      </c>
      <c r="R98" t="str">
        <f>"tackles: "&amp;$P$2&amp;","</f>
        <v>tackles: 0,</v>
      </c>
      <c r="S98" t="str">
        <f>"tackles: "&amp;$P$19&amp;","</f>
        <v>tackles: 1,</v>
      </c>
      <c r="T98" t="str">
        <f>"tackles: "&amp;$P$17&amp;","</f>
        <v>tackles: 0,</v>
      </c>
      <c r="U98" t="str">
        <f>"tackles: "&amp;$P$18&amp;","</f>
        <v>tackles: 0,</v>
      </c>
      <c r="V98" t="str">
        <f>"tackles: "&amp;$P$16&amp;","</f>
        <v>tackles: 1,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0,</v>
      </c>
      <c r="B99" t="str">
        <f>"interceptions: "&amp;$Q$15&amp;","</f>
        <v>interceptions: 8,</v>
      </c>
      <c r="C99" t="str">
        <f>"interceptions: "&amp;$Q$9&amp;","</f>
        <v>interceptions: 0,</v>
      </c>
      <c r="D99" t="str">
        <f>"interceptions: "&amp;$Q$24&amp;","</f>
        <v>interceptions: 6,</v>
      </c>
      <c r="E99" t="str">
        <f>"interceptions: "&amp;$Q$12&amp;","</f>
        <v>interceptions: 4,</v>
      </c>
      <c r="F99" t="str">
        <f>"interceptions: "&amp;$Q$22&amp;","</f>
        <v>interceptions: 3,</v>
      </c>
      <c r="G99" t="str">
        <f>"interceptions: "&amp;$Q$3&amp;","</f>
        <v>interceptions: 0,</v>
      </c>
      <c r="H99" t="str">
        <f>"interceptions: "&amp;$Q$7&amp;","</f>
        <v>interceptions: 5,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3,</v>
      </c>
      <c r="M99" t="str">
        <f>"interceptions: "&amp;$Q$21&amp;","</f>
        <v>interceptions: 6,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1,</v>
      </c>
      <c r="Q99" t="str">
        <f>"interceptions: "&amp;$Q$10&amp;","</f>
        <v>interceptions: 0,</v>
      </c>
      <c r="R99" t="str">
        <f>"interceptions: "&amp;$Q$2&amp;","</f>
        <v>interceptions: 1,</v>
      </c>
      <c r="S99" t="str">
        <f>"interceptions: "&amp;$Q$19&amp;","</f>
        <v>interceptions: 1,</v>
      </c>
      <c r="T99" t="str">
        <f>"interceptions: "&amp;$Q$17&amp;","</f>
        <v>interceptions: 2,</v>
      </c>
      <c r="U99" t="str">
        <f>"interceptions: "&amp;$Q$18&amp;","</f>
        <v>interceptions: 0,</v>
      </c>
      <c r="V99" t="str">
        <f>"interceptions: "&amp;$Q$16&amp;","</f>
        <v>interceptions: 0,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0,</v>
      </c>
      <c r="B100" t="str">
        <f>"fhRegains: "&amp;$R$15&amp;","</f>
        <v>fhRegains: 1,</v>
      </c>
      <c r="C100" t="str">
        <f>"fhRegains: "&amp;$R$9&amp;","</f>
        <v>fhRegains: 0,</v>
      </c>
      <c r="D100" t="str">
        <f>"fhRegains: "&amp;$R$24&amp;","</f>
        <v>fhRegains: 2,</v>
      </c>
      <c r="E100" t="str">
        <f>"fhRegains: "&amp;$R$12&amp;","</f>
        <v>fhRegains: 3,</v>
      </c>
      <c r="F100" t="str">
        <f>"fhRegains: "&amp;$R$22&amp;","</f>
        <v>fhRegains: 1,</v>
      </c>
      <c r="G100" t="str">
        <f>"fhRegains: "&amp;$R$3&amp;","</f>
        <v>fhRegains: 0,</v>
      </c>
      <c r="H100" t="str">
        <f>"fhRegains: "&amp;$R$7&amp;","</f>
        <v>fhRegains: 2,</v>
      </c>
      <c r="I100" t="str">
        <f>"fhRegains: "&amp;$R$8&amp;","</f>
        <v>fhRegains: 1,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0,</v>
      </c>
      <c r="M100" t="str">
        <f>"fhRegains: "&amp;$R$21&amp;","</f>
        <v>fhRegains: 1,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2,</v>
      </c>
      <c r="Q100" t="str">
        <f>"fhRegains: "&amp;$R$10&amp;","</f>
        <v>fhRegains: 3,</v>
      </c>
      <c r="R100" t="str">
        <f>"fhRegains: "&amp;$R$2&amp;","</f>
        <v>fhRegains: 0,</v>
      </c>
      <c r="S100" t="str">
        <f>"fhRegains: "&amp;$R$19&amp;","</f>
        <v>fhRegains: 1,</v>
      </c>
      <c r="T100" t="str">
        <f>"fhRegains: "&amp;$R$17&amp;","</f>
        <v>fhRegains: 0,</v>
      </c>
      <c r="U100" t="str">
        <f>"fhRegains: "&amp;$R$18&amp;","</f>
        <v>fhRegains: 0,</v>
      </c>
      <c r="V100" t="str">
        <f>"fhRegains: "&amp;$R$16&amp;","</f>
        <v>fhRegains: 1,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1,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1,</v>
      </c>
      <c r="F101" t="str">
        <f>"blocks: "&amp;$S$22&amp;","</f>
        <v>blocks: 1,</v>
      </c>
      <c r="G101" t="str">
        <f>"blocks: "&amp;$S$3&amp;","</f>
        <v>blocks: 0,</v>
      </c>
      <c r="H101" t="str">
        <f>"blocks: "&amp;$S$7&amp;","</f>
        <v>blocks: 1,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1,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3,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1,</v>
      </c>
      <c r="C102" t="str">
        <f>"clearances: "&amp;$T$9&amp;","</f>
        <v>clearances: 0,</v>
      </c>
      <c r="D102" t="str">
        <f>"clearances: "&amp;$T$24&amp;","</f>
        <v>clearances: 3,</v>
      </c>
      <c r="E102" t="str">
        <f>"clearances: "&amp;$T$12&amp;","</f>
        <v>clearances: 0,</v>
      </c>
      <c r="F102" t="str">
        <f>"clearances: "&amp;$T$22&amp;","</f>
        <v>clearances: 2,</v>
      </c>
      <c r="G102" t="str">
        <f>"clearances: "&amp;$T$3&amp;","</f>
        <v>clearances: 0,</v>
      </c>
      <c r="H102" t="str">
        <f>"clearances: "&amp;$T$7&amp;","</f>
        <v>clearances: 0,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1,</v>
      </c>
      <c r="M102" t="str">
        <f>"clearances: "&amp;$T$21&amp;","</f>
        <v>clearances: 0,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1,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2,</v>
      </c>
      <c r="B103" t="str">
        <f>"separations: "&amp;$U$15&amp;","</f>
        <v>separations: 0,</v>
      </c>
      <c r="C103" t="str">
        <f>"separations: "&amp;$U$9&amp;","</f>
        <v>separations: 0,</v>
      </c>
      <c r="D103" t="str">
        <f>"separations: "&amp;$U$24&amp;","</f>
        <v>separations: 1,</v>
      </c>
      <c r="E103" t="str">
        <f>"separations: "&amp;$U$12&amp;","</f>
        <v>separations: 0,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2,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1,</v>
      </c>
      <c r="M103" t="str">
        <f>"separations: "&amp;$U$21&amp;","</f>
        <v>separations: 0,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5,</v>
      </c>
      <c r="B104" t="str">
        <f>"headers: "&amp;$V$15&amp;","</f>
        <v>headers: 6,</v>
      </c>
      <c r="C104" t="str">
        <f>"headers: "&amp;$V$9&amp;","</f>
        <v>headers: 0,</v>
      </c>
      <c r="D104" t="str">
        <f>"headers: "&amp;$V$24&amp;","</f>
        <v>headers: 7,</v>
      </c>
      <c r="E104" t="str">
        <f>"headers: "&amp;$V$12&amp;","</f>
        <v>headers: 0,</v>
      </c>
      <c r="F104" t="str">
        <f>"headers: "&amp;$V$22&amp;","</f>
        <v>headers: 14,</v>
      </c>
      <c r="G104" t="str">
        <f>"headers: "&amp;$V$3&amp;","</f>
        <v>headers: 0,</v>
      </c>
      <c r="H104" t="str">
        <f>"headers: "&amp;$V$7&amp;","</f>
        <v>headers: 7,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2,</v>
      </c>
      <c r="M104" t="str">
        <f>"headers: "&amp;$V$21&amp;","</f>
        <v>headers: 5,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4,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1,</v>
      </c>
      <c r="B105" t="str">
        <f>"stopForwardCA: "&amp;$W$15&amp;","</f>
        <v>stopForwardCA: 5,</v>
      </c>
      <c r="C105" t="str">
        <f>"stopForwardCA: "&amp;$W$9&amp;","</f>
        <v>stopForwardCA: 0,</v>
      </c>
      <c r="D105" t="str">
        <f>"stopForwardCA: "&amp;$W$24&amp;","</f>
        <v>stopForwardCA: 3,</v>
      </c>
      <c r="E105" t="str">
        <f>"stopForwardCA: "&amp;$W$12&amp;","</f>
        <v>stopForwardCA: 2,</v>
      </c>
      <c r="F105" t="str">
        <f>"stopForwardCA: "&amp;$W$22&amp;","</f>
        <v>stopForwardCA: 3,</v>
      </c>
      <c r="G105" t="str">
        <f>"stopForwardCA: "&amp;$W$3&amp;","</f>
        <v>stopForwardCA: 0,</v>
      </c>
      <c r="H105" t="str">
        <f>"stopForwardCA: "&amp;$W$7&amp;","</f>
        <v>stopForwardCA: 7,</v>
      </c>
      <c r="I105" t="str">
        <f>"stopForwardCA: "&amp;$W$8&amp;","</f>
        <v>stopForwardCA: 4,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1,</v>
      </c>
      <c r="M105" t="str">
        <f>"stopForwardCA: "&amp;$W$21&amp;","</f>
        <v>stopForwardCA: 2,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2,</v>
      </c>
      <c r="Q105" t="str">
        <f>"stopForwardCA: "&amp;$W$10&amp;","</f>
        <v>stopForwardCA: 2,</v>
      </c>
      <c r="R105" t="str">
        <f>"stopForwardCA: "&amp;$W$2&amp;","</f>
        <v>stopForwardCA: 1,</v>
      </c>
      <c r="S105" t="str">
        <f>"stopForwardCA: "&amp;$W$19&amp;","</f>
        <v>stopForwardCA: 0,</v>
      </c>
      <c r="T105" t="str">
        <f>"stopForwardCA: "&amp;$W$17&amp;","</f>
        <v>stopForwardCA: 0,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64,</v>
      </c>
      <c r="B109" t="str">
        <f>"minutes: "&amp;B$15&amp;","</f>
        <v>minutes: 90,</v>
      </c>
      <c r="C109" t="str">
        <f>"minutes: "&amp;B$9&amp;","</f>
        <v>minutes: 0,</v>
      </c>
      <c r="D109" t="str">
        <f>"minutes: "&amp;B$24&amp;","</f>
        <v>minutes: 79,</v>
      </c>
      <c r="E109" t="str">
        <f>"minutes: "&amp;B$12&amp;","</f>
        <v>minutes: 50,</v>
      </c>
      <c r="F109" t="str">
        <f>"minutes: "&amp;B$22&amp;","</f>
        <v>minutes: 90,</v>
      </c>
      <c r="G109" t="str">
        <f>"minutes: "&amp;B$3&amp;","</f>
        <v>minutes: 0,</v>
      </c>
      <c r="H109" t="str">
        <f>"minutes: "&amp;B$7&amp;","</f>
        <v>minutes: 79,</v>
      </c>
      <c r="I109" t="str">
        <f>"minutes: "&amp;B$8&amp;","</f>
        <v>minutes: 26,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23,</v>
      </c>
      <c r="M109" t="str">
        <f>"minutes: "&amp;B$21&amp;","</f>
        <v>minutes: 73,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25,</v>
      </c>
      <c r="Q109" t="str">
        <f>"minutes: "&amp;B$10&amp;","</f>
        <v>minutes: 90,</v>
      </c>
      <c r="R109" t="str">
        <f>"minutes: "&amp;B$2&amp;","</f>
        <v>minutes: 6,</v>
      </c>
      <c r="S109" t="str">
        <f>"minutes: "&amp;B$19&amp;","</f>
        <v>minutes: 74,</v>
      </c>
      <c r="T109" t="str">
        <f>"minutes: "&amp;B$17&amp;","</f>
        <v>minutes: 65,</v>
      </c>
      <c r="U109" t="str">
        <f>"minutes: "&amp;B$18&amp;","</f>
        <v>minutes: 0,</v>
      </c>
      <c r="V109" t="str">
        <f>"minutes: "&amp;B$16&amp;","</f>
        <v>minutes: 54,</v>
      </c>
      <c r="W109" t="str">
        <f>"minutes: "&amp;B$6&amp;","</f>
        <v>minutes: 3,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1,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1,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2,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1,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0,</v>
      </c>
      <c r="B113" t="str">
        <f>"startCA: "&amp;$F$15&amp;","</f>
        <v>startCA: 3,</v>
      </c>
      <c r="C113" t="str">
        <f>"startCA: "&amp;$F$9&amp;","</f>
        <v>startCA: 0,</v>
      </c>
      <c r="D113" t="str">
        <f>"startCA: "&amp;$F$24&amp;","</f>
        <v>startCA: 5,</v>
      </c>
      <c r="E113" t="str">
        <f>"startCA: "&amp;$F$12&amp;","</f>
        <v>startCA: 7,</v>
      </c>
      <c r="F113" t="str">
        <f>"startCA: "&amp;$F$22&amp;","</f>
        <v>startCA: 3,</v>
      </c>
      <c r="G113" t="str">
        <f>"startCA: "&amp;$F$3&amp;","</f>
        <v>startCA: 0,</v>
      </c>
      <c r="H113" t="str">
        <f>"startCA: "&amp;$F$7&amp;","</f>
        <v>startCA: 6,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3,</v>
      </c>
      <c r="M113" t="str">
        <f>"startCA: "&amp;$F$21&amp;","</f>
        <v>startCA: 4,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0,</v>
      </c>
      <c r="Q113" t="str">
        <f>"startCA: "&amp;$F$10&amp;","</f>
        <v>startCA: 2,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2,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1,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3,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1,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1,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1,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1,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1,</v>
      </c>
      <c r="T115" t="str">
        <f>"effCrosses: "&amp;$H$17&amp;","</f>
        <v>effCrosses: 2,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0,</v>
      </c>
      <c r="C116" t="str">
        <f>"oneVones: "&amp;$I$9&amp;","</f>
        <v>oneVones: 0,</v>
      </c>
      <c r="D116" t="str">
        <f>"oneVones: "&amp;$I$24&amp;","</f>
        <v>oneVones: 7,</v>
      </c>
      <c r="E116" t="str">
        <f>"oneVones: "&amp;$I$12&amp;","</f>
        <v>oneVones: 1,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6,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3,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1,</v>
      </c>
      <c r="Q116" t="str">
        <f>"oneVones: "&amp;$I$10&amp;","</f>
        <v>oneVones: 3,</v>
      </c>
      <c r="R116" t="str">
        <f>"oneVones: "&amp;$I$2&amp;","</f>
        <v>oneVones: 0,</v>
      </c>
      <c r="S116" t="str">
        <f>"oneVones: "&amp;$I$19&amp;","</f>
        <v>oneVones: 1,</v>
      </c>
      <c r="T116" t="str">
        <f>"oneVones: "&amp;$I$17&amp;","</f>
        <v>oneVones: 2,</v>
      </c>
      <c r="U116" t="str">
        <f>"oneVones: "&amp;$I$18&amp;","</f>
        <v>oneVones: 0,</v>
      </c>
      <c r="V116" t="str">
        <f>"oneVones: "&amp;$I$16&amp;","</f>
        <v>oneVones: 2,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5,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1,</v>
      </c>
      <c r="G117" t="str">
        <f>"attHeaders: "&amp;$J$3&amp;","</f>
        <v>attHeaders: 0,</v>
      </c>
      <c r="H117" t="str">
        <f>"attHeaders: "&amp;$J$7&amp;","</f>
        <v>attHeaders: 1,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4,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4,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0,</v>
      </c>
      <c r="T117" t="str">
        <f>"attHeaders: "&amp;$J$17&amp;","</f>
        <v>attHeaders: 0,</v>
      </c>
      <c r="U117" t="str">
        <f>"attHeaders: "&amp;$J$18&amp;","</f>
        <v>attHeaders: 0,</v>
      </c>
      <c r="V117" t="str">
        <f>"attHeaders: "&amp;$J$16&amp;","</f>
        <v>attHeaders: 4,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2,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1,</v>
      </c>
      <c r="E118" t="str">
        <f>"spEarned: "&amp;$K$12&amp;","</f>
        <v>spEarned: 0,</v>
      </c>
      <c r="F118" t="str">
        <f>"spEarned: "&amp;$K$22&amp;","</f>
        <v>spEarned: 2,</v>
      </c>
      <c r="G118" t="str">
        <f>"spEarned: "&amp;$K$3&amp;","</f>
        <v>spEarned: 0,</v>
      </c>
      <c r="H118" t="str">
        <f>"spEarned: "&amp;$K$7&amp;","</f>
        <v>spEarned: 1,</v>
      </c>
      <c r="I118" t="str">
        <f>"spEarned: "&amp;$K$8&amp;","</f>
        <v>spEarned: 2,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2,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1,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0,</v>
      </c>
      <c r="T118" t="str">
        <f>"spEarned: "&amp;$K$17&amp;","</f>
        <v>spEarned: 0,</v>
      </c>
      <c r="U118" t="str">
        <f>"spEarned: "&amp;$K$18&amp;","</f>
        <v>spEarned: 0,</v>
      </c>
      <c r="V118" t="str">
        <f>"spEarned: "&amp;$K$16&amp;","</f>
        <v>spEarned: 3,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1,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1,</v>
      </c>
      <c r="E119" t="str">
        <f>"offTargetShots: "&amp;$L$12&amp;","</f>
        <v>offTargetShots: 1,</v>
      </c>
      <c r="F119" t="str">
        <f>"offTargetShots: "&amp;$L$22&amp;","</f>
        <v>offTargetShots: 1,</v>
      </c>
      <c r="G119" t="str">
        <f>"offTargetShots: "&amp;$L$3&amp;","</f>
        <v>offTargetShots: 0,</v>
      </c>
      <c r="H119" t="str">
        <f>"offTargetShots: "&amp;$L$7&amp;","</f>
        <v>offTargetShots: 1,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1,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4,</v>
      </c>
      <c r="R119" t="str">
        <f>"offTargetShots: "&amp;$L$2&amp;","</f>
        <v>offTargetShots: 0,</v>
      </c>
      <c r="S119" t="str">
        <f>"offTargetShots: "&amp;$L$19&amp;","</f>
        <v>offTargetShots: 0,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2,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3,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2,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1,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2,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3,</v>
      </c>
      <c r="R120" t="str">
        <f>"onTargetShots: "&amp;$M$2&amp;","</f>
        <v>onTargetShots: 0,</v>
      </c>
      <c r="S120" t="str">
        <f>"onTargetShots: "&amp;$M$19&amp;","</f>
        <v>onTargetShots: 1,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1,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0.19,</v>
      </c>
      <c r="B121" t="str">
        <f>"totalOffActMin: "&amp;TEXT($O$15,"0.00")&amp;","</f>
        <v>totalOffActMin: 0.03,</v>
      </c>
      <c r="C121" t="str">
        <f>"totalOffActMin: "&amp;TEXT($O$9,"0.00")&amp;","</f>
        <v>totalOffActMin: 0.00,</v>
      </c>
      <c r="D121" t="str">
        <f>"totalOffActMin: "&amp;TEXT($O$24,"0.00")&amp;","</f>
        <v>totalOffActMin: 0.22,</v>
      </c>
      <c r="E121" t="str">
        <f>"totalOffActMin: "&amp;TEXT($O$12,"0.00")&amp;","</f>
        <v>totalOffActMin: 0.18,</v>
      </c>
      <c r="F121" t="str">
        <f>"totalOffActMin: "&amp;TEXT($O$22,"0.00")&amp;","</f>
        <v>totalOffActMin: 0.08,</v>
      </c>
      <c r="G121" t="str">
        <f>"totalOffActMin: "&amp;TEXT($O$3,"0.00")&amp;","</f>
        <v>totalOffActMin: 0.00,</v>
      </c>
      <c r="H121" t="str">
        <f>"totalOffActMin: "&amp;TEXT($O$7,"0.00")&amp;","</f>
        <v>totalOffActMin: 0.24,</v>
      </c>
      <c r="I121" t="str">
        <f>"totalOffActMin: "&amp;TEXT($O$8,"0.00")&amp;","</f>
        <v>totalOffActMin: 0.12,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0.13,</v>
      </c>
      <c r="M121" t="str">
        <f>"totalOffActMin: "&amp;TEXT($O$21,"0.00")&amp;","</f>
        <v>totalOffActMin: 0.23,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0.24,</v>
      </c>
      <c r="Q121" t="str">
        <f>"totalOffActMin: "&amp;TEXT($O$10,"0.00")&amp;","</f>
        <v>totalOffActMin: 0.16,</v>
      </c>
      <c r="R121" t="str">
        <f>"totalOffActMin: "&amp;TEXT($O$2,"0.00")&amp;","</f>
        <v>totalOffActMin: 0.00,</v>
      </c>
      <c r="S121" t="str">
        <f>"totalOffActMin: "&amp;TEXT($O$19,"0.00")&amp;","</f>
        <v>totalOffActMin: 0.05,</v>
      </c>
      <c r="T121" t="str">
        <f>"totalOffActMin: "&amp;TEXT($O$17,"0.00")&amp;","</f>
        <v>totalOffActMin: 0.09,</v>
      </c>
      <c r="U121" t="str">
        <f>"totalOffActMin: "&amp;TEXT($O$18,"0.00")&amp;","</f>
        <v>totalOffActMin: 0.00,</v>
      </c>
      <c r="V121" t="str">
        <f>"totalOffActMin: "&amp;TEXT($O$16,"0.00")&amp;","</f>
        <v>totalOffActMin: 0.26,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3,</v>
      </c>
      <c r="C122" t="str">
        <f>"tackles: "&amp;$P$9&amp;","</f>
        <v>tackles: 0,</v>
      </c>
      <c r="D122" t="str">
        <f>"tackles: "&amp;$P$24&amp;","</f>
        <v>tackles: 8,</v>
      </c>
      <c r="E122" t="str">
        <f>"tackles: "&amp;$P$12&amp;","</f>
        <v>tackles: 6,</v>
      </c>
      <c r="F122" t="str">
        <f>"tackles: "&amp;$P$22&amp;","</f>
        <v>tackles: 3,</v>
      </c>
      <c r="G122" t="str">
        <f>"tackles: "&amp;$P$3&amp;","</f>
        <v>tackles: 0,</v>
      </c>
      <c r="H122" t="str">
        <f>"tackles: "&amp;$P$7&amp;","</f>
        <v>tackles: 1,</v>
      </c>
      <c r="I122" t="str">
        <f>"tackles: "&amp;$P$8&amp;","</f>
        <v>tackles: 1,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4,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2,</v>
      </c>
      <c r="R122" t="str">
        <f>"tackles: "&amp;$P$2&amp;","</f>
        <v>tackles: 0,</v>
      </c>
      <c r="S122" t="str">
        <f>"tackles: "&amp;$P$19&amp;","</f>
        <v>tackles: 1,</v>
      </c>
      <c r="T122" t="str">
        <f>"tackles: "&amp;$P$17&amp;","</f>
        <v>tackles: 0,</v>
      </c>
      <c r="U122" t="str">
        <f>"tackles: "&amp;$P$18&amp;","</f>
        <v>tackles: 0,</v>
      </c>
      <c r="V122" t="str">
        <f>"tackles: "&amp;$P$16&amp;","</f>
        <v>tackles: 1,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0,</v>
      </c>
      <c r="B123" t="str">
        <f>"interceptions: "&amp;$Q$15&amp;","</f>
        <v>interceptions: 8,</v>
      </c>
      <c r="C123" t="str">
        <f>"interceptions: "&amp;$Q$9&amp;","</f>
        <v>interceptions: 0,</v>
      </c>
      <c r="D123" t="str">
        <f>"interceptions: "&amp;$Q$24&amp;","</f>
        <v>interceptions: 6,</v>
      </c>
      <c r="E123" t="str">
        <f>"interceptions: "&amp;$Q$12&amp;","</f>
        <v>interceptions: 4,</v>
      </c>
      <c r="F123" t="str">
        <f>"interceptions: "&amp;$Q$22&amp;","</f>
        <v>interceptions: 3,</v>
      </c>
      <c r="G123" t="str">
        <f>"interceptions: "&amp;$Q$3&amp;","</f>
        <v>interceptions: 0,</v>
      </c>
      <c r="H123" t="str">
        <f>"interceptions: "&amp;$Q$7&amp;","</f>
        <v>interceptions: 5,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3,</v>
      </c>
      <c r="M123" t="str">
        <f>"interceptions: "&amp;$Q$21&amp;","</f>
        <v>interceptions: 6,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1,</v>
      </c>
      <c r="Q123" t="str">
        <f>"interceptions: "&amp;$Q$10&amp;","</f>
        <v>interceptions: 0,</v>
      </c>
      <c r="R123" t="str">
        <f>"interceptions: "&amp;$Q$2&amp;","</f>
        <v>interceptions: 1,</v>
      </c>
      <c r="S123" t="str">
        <f>"interceptions: "&amp;$Q$19&amp;","</f>
        <v>interceptions: 1,</v>
      </c>
      <c r="T123" t="str">
        <f>"interceptions: "&amp;$Q$17&amp;","</f>
        <v>interceptions: 2,</v>
      </c>
      <c r="U123" t="str">
        <f>"interceptions: "&amp;$Q$18&amp;","</f>
        <v>interceptions: 0,</v>
      </c>
      <c r="V123" t="str">
        <f>"interceptions: "&amp;$Q$16&amp;","</f>
        <v>interceptions: 0,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0,</v>
      </c>
      <c r="B124" t="str">
        <f>"fhRegains: "&amp;$R$15&amp;","</f>
        <v>fhRegains: 1,</v>
      </c>
      <c r="C124" t="str">
        <f>"fhRegains: "&amp;$R$9&amp;","</f>
        <v>fhRegains: 0,</v>
      </c>
      <c r="D124" t="str">
        <f>"fhRegains: "&amp;$R$24&amp;","</f>
        <v>fhRegains: 2,</v>
      </c>
      <c r="E124" t="str">
        <f>"fhRegains: "&amp;$R$12&amp;","</f>
        <v>fhRegains: 3,</v>
      </c>
      <c r="F124" t="str">
        <f>"fhRegains: "&amp;$R$22&amp;","</f>
        <v>fhRegains: 1,</v>
      </c>
      <c r="G124" t="str">
        <f>"fhRegains: "&amp;$R$3&amp;","</f>
        <v>fhRegains: 0,</v>
      </c>
      <c r="H124" t="str">
        <f>"fhRegains: "&amp;$R$7&amp;","</f>
        <v>fhRegains: 2,</v>
      </c>
      <c r="I124" t="str">
        <f>"fhRegains: "&amp;$R$8&amp;","</f>
        <v>fhRegains: 1,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0,</v>
      </c>
      <c r="M124" t="str">
        <f>"fhRegains: "&amp;$R$21&amp;","</f>
        <v>fhRegains: 1,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2,</v>
      </c>
      <c r="Q124" t="str">
        <f>"fhRegains: "&amp;$R$10&amp;","</f>
        <v>fhRegains: 3,</v>
      </c>
      <c r="R124" t="str">
        <f>"fhRegains: "&amp;$R$2&amp;","</f>
        <v>fhRegains: 0,</v>
      </c>
      <c r="S124" t="str">
        <f>"fhRegains: "&amp;$R$19&amp;","</f>
        <v>fhRegains: 1,</v>
      </c>
      <c r="T124" t="str">
        <f>"fhRegains: "&amp;$R$17&amp;","</f>
        <v>fhRegains: 0,</v>
      </c>
      <c r="U124" t="str">
        <f>"fhRegains: "&amp;$R$18&amp;","</f>
        <v>fhRegains: 0,</v>
      </c>
      <c r="V124" t="str">
        <f>"fhRegains: "&amp;$R$16&amp;","</f>
        <v>fhRegains: 1,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1,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1,</v>
      </c>
      <c r="F125" t="str">
        <f>"blocks: "&amp;$S$22&amp;","</f>
        <v>blocks: 1,</v>
      </c>
      <c r="G125" t="str">
        <f>"blocks: "&amp;$S$3&amp;","</f>
        <v>blocks: 0,</v>
      </c>
      <c r="H125" t="str">
        <f>"blocks: "&amp;$S$7&amp;","</f>
        <v>blocks: 1,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1,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3,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1,</v>
      </c>
      <c r="C126" t="str">
        <f>"clearances: "&amp;$T$9&amp;","</f>
        <v>clearances: 0,</v>
      </c>
      <c r="D126" t="str">
        <f>"clearances: "&amp;$T$24&amp;","</f>
        <v>clearances: 3,</v>
      </c>
      <c r="E126" t="str">
        <f>"clearances: "&amp;$T$12&amp;","</f>
        <v>clearances: 0,</v>
      </c>
      <c r="F126" t="str">
        <f>"clearances: "&amp;$T$22&amp;","</f>
        <v>clearances: 2,</v>
      </c>
      <c r="G126" t="str">
        <f>"clearances: "&amp;$T$3&amp;","</f>
        <v>clearances: 0,</v>
      </c>
      <c r="H126" t="str">
        <f>"clearances: "&amp;$T$7&amp;","</f>
        <v>clearances: 0,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1,</v>
      </c>
      <c r="M126" t="str">
        <f>"clearances: "&amp;$T$21&amp;","</f>
        <v>clearances: 0,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1,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2,</v>
      </c>
      <c r="B127" t="str">
        <f>"separations: "&amp;$U$15&amp;","</f>
        <v>separations: 0,</v>
      </c>
      <c r="C127" t="str">
        <f>"separations: "&amp;$U$9&amp;","</f>
        <v>separations: 0,</v>
      </c>
      <c r="D127" t="str">
        <f>"separations: "&amp;$U$24&amp;","</f>
        <v>separations: 1,</v>
      </c>
      <c r="E127" t="str">
        <f>"separations: "&amp;$U$12&amp;","</f>
        <v>separations: 0,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2,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1,</v>
      </c>
      <c r="M127" t="str">
        <f>"separations: "&amp;$U$21&amp;","</f>
        <v>separations: 0,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5,</v>
      </c>
      <c r="B128" t="str">
        <f>"headers: "&amp;$V$15&amp;","</f>
        <v>headers: 6,</v>
      </c>
      <c r="C128" t="str">
        <f>"headers: "&amp;$V$9&amp;","</f>
        <v>headers: 0,</v>
      </c>
      <c r="D128" t="str">
        <f>"headers: "&amp;$V$24&amp;","</f>
        <v>headers: 7,</v>
      </c>
      <c r="E128" t="str">
        <f>"headers: "&amp;$V$12&amp;","</f>
        <v>headers: 0,</v>
      </c>
      <c r="F128" t="str">
        <f>"headers: "&amp;$V$22&amp;","</f>
        <v>headers: 14,</v>
      </c>
      <c r="G128" t="str">
        <f>"headers: "&amp;$V$3&amp;","</f>
        <v>headers: 0,</v>
      </c>
      <c r="H128" t="str">
        <f>"headers: "&amp;$V$7&amp;","</f>
        <v>headers: 7,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2,</v>
      </c>
      <c r="M128" t="str">
        <f>"headers: "&amp;$V$21&amp;","</f>
        <v>headers: 5,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4,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1,</v>
      </c>
      <c r="B129" t="str">
        <f>"stopFwdCA: "&amp;$W$15&amp;","</f>
        <v>stopFwdCA: 5,</v>
      </c>
      <c r="C129" t="str">
        <f>"stopFwdCA: "&amp;$W$9&amp;","</f>
        <v>stopFwdCA: 0,</v>
      </c>
      <c r="D129" t="str">
        <f>"stopFwdCA: "&amp;$W$24&amp;","</f>
        <v>stopFwdCA: 3,</v>
      </c>
      <c r="E129" t="str">
        <f>"stopFwdCA: "&amp;$W$12&amp;","</f>
        <v>stopFwdCA: 2,</v>
      </c>
      <c r="F129" t="str">
        <f>"stopFwdCA: "&amp;$W$22&amp;","</f>
        <v>stopFwdCA: 3,</v>
      </c>
      <c r="G129" t="str">
        <f>"stopFwdCA: "&amp;$W$3&amp;","</f>
        <v>stopFwdCA: 0,</v>
      </c>
      <c r="H129" t="str">
        <f>"stopFwdCA: "&amp;$W$7&amp;","</f>
        <v>stopFwdCA: 7,</v>
      </c>
      <c r="I129" t="str">
        <f>"stopFwdCA: "&amp;$W$8&amp;","</f>
        <v>stopFwdCA: 4,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1,</v>
      </c>
      <c r="M129" t="str">
        <f>"stopFwdCA: "&amp;$W$21&amp;","</f>
        <v>stopFwdCA: 2,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2,</v>
      </c>
      <c r="Q129" t="str">
        <f>"stopFwdCA: "&amp;$W$10&amp;","</f>
        <v>stopFwdCA: 2,</v>
      </c>
      <c r="R129" t="str">
        <f>"stopFwdCA: "&amp;$W$2&amp;","</f>
        <v>stopFwdCA: 1,</v>
      </c>
      <c r="S129" t="str">
        <f>"stopFwdCA: "&amp;$W$19&amp;","</f>
        <v>stopFwdCA: 0,</v>
      </c>
      <c r="T129" t="str">
        <f>"stopFwdCA: "&amp;$W$17&amp;","</f>
        <v>stopFwdCA: 0,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0.13,</v>
      </c>
      <c r="B130" t="str">
        <f>"totalDefActMin: "&amp;TEXT($Y$15,"0.00")&amp;","</f>
        <v>totalDefActMin: 0.28,</v>
      </c>
      <c r="C130" t="str">
        <f>"totalDefActMin: "&amp;TEXT($Y$9,"0.00")&amp;","</f>
        <v>totalDefActMin: 0.00,</v>
      </c>
      <c r="D130" t="str">
        <f>"totalDefActMin: "&amp;TEXT($Y$24,"0.00")&amp;","</f>
        <v>totalDefActMin: 0.38,</v>
      </c>
      <c r="E130" t="str">
        <f>"totalDefActMin: "&amp;TEXT($Y$12,"0.00")&amp;","</f>
        <v>totalDefActMin: 0.32,</v>
      </c>
      <c r="F130" t="str">
        <f>"totalDefActMin: "&amp;TEXT($Y$22,"0.00")&amp;","</f>
        <v>totalDefActMin: 0.30,</v>
      </c>
      <c r="G130" t="str">
        <f>"totalDefActMin: "&amp;TEXT($Y$3,"0.00")&amp;","</f>
        <v>totalDefActMin: 0.00,</v>
      </c>
      <c r="H130" t="str">
        <f>"totalDefActMin: "&amp;TEXT($Y$7,"0.00")&amp;","</f>
        <v>totalDefActMin: 0.32,</v>
      </c>
      <c r="I130" t="str">
        <f>"totalDefActMin: "&amp;TEXT($Y$8,"0.00")&amp;","</f>
        <v>totalDefActMin: 0.23,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0.35,</v>
      </c>
      <c r="M130" t="str">
        <f>"totalDefActMin: "&amp;TEXT($Y$21,"0.00")&amp;","</f>
        <v>totalDefActMin: 0.25,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0.24,</v>
      </c>
      <c r="Q130" t="str">
        <f>"totalDefActMin: "&amp;TEXT($Y$10,"0.00")&amp;","</f>
        <v>totalDefActMin: 0.08,</v>
      </c>
      <c r="R130" t="str">
        <f>"totalDefActMin: "&amp;TEXT($Y$2,"0.00")&amp;","</f>
        <v>totalDefActMin: 0.33,</v>
      </c>
      <c r="S130" t="str">
        <f>"totalDefActMin: "&amp;TEXT($Y$19,"0.00")&amp;","</f>
        <v>totalDefActMin: 0.04,</v>
      </c>
      <c r="T130" t="str">
        <f>"totalDefActMin: "&amp;TEXT($Y$17,"0.00")&amp;","</f>
        <v>totalDefActMin: 0.15,</v>
      </c>
      <c r="U130" t="str">
        <f>"totalDefActMin: "&amp;TEXT($Y$18,"0.00")&amp;","</f>
        <v>totalDefActMin: 0.00,</v>
      </c>
      <c r="V130" t="str">
        <f>"totalDefActMin: "&amp;TEXT($Y$16,"0.00")&amp;","</f>
        <v>totalDefActMin: 0.06,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20,</v>
      </c>
      <c r="B131" t="str">
        <f t="shared" ref="B131" si="4">"totalActions: "&amp;$Z$4&amp;","</f>
        <v>totalActions: 20,</v>
      </c>
      <c r="C131" t="str">
        <f>"totalActions: "&amp;$Z$9&amp;","</f>
        <v>totalActions: 0,</v>
      </c>
      <c r="D131" t="str">
        <f>"totalActions: "&amp;$Z$24&amp;","</f>
        <v>totalActions: 47,</v>
      </c>
      <c r="E131" t="str">
        <f>"totalActions: "&amp;$Z$12&amp;","</f>
        <v>totalActions: 25,</v>
      </c>
      <c r="F131" t="str">
        <f>"totalActions: "&amp;$Z$22&amp;","</f>
        <v>totalActions: 34,</v>
      </c>
      <c r="G131" t="str">
        <f>"totalActions: "&amp;$Z$3&amp;","</f>
        <v>totalActions: 0,</v>
      </c>
      <c r="H131" t="str">
        <f>"totalActions: "&amp;$Z$7&amp;","</f>
        <v>totalActions: 44,</v>
      </c>
      <c r="I131" t="str">
        <f>"totalActions: "&amp;$Z$8&amp;","</f>
        <v>totalActions: 9,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11,</v>
      </c>
      <c r="M131" t="str">
        <f>"totalActions: "&amp;$Z$21&amp;","</f>
        <v>totalActions: 35,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12,</v>
      </c>
      <c r="Q131" t="str">
        <f>"totalActions: "&amp;$Z$10&amp;","</f>
        <v>totalActions: 21,</v>
      </c>
      <c r="R131" t="str">
        <f>"totalActions: "&amp;$Z$2&amp;","</f>
        <v>totalActions: 2,</v>
      </c>
      <c r="S131" t="str">
        <f>"totalActions: "&amp;$Z$19&amp;","</f>
        <v>totalActions: 7,</v>
      </c>
      <c r="T131" t="str">
        <f>"totalActions: "&amp;$Z$17&amp;","</f>
        <v>totalActions: 16,</v>
      </c>
      <c r="U131" t="str">
        <f>"totalActions: "&amp;$Z$18&amp;","</f>
        <v>totalActions: 0,</v>
      </c>
      <c r="V131" t="str">
        <f>"totalActions: "&amp;$Z$16&amp;","</f>
        <v>totalActions: 17,</v>
      </c>
      <c r="W131" t="str">
        <f>"totalActions: "&amp;$Z$6&amp;","</f>
        <v>totalActions: 0,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class="stat-value-2"&gt;12&lt;/span&gt;&lt;/p&gt;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class="stat-value-2"&gt;3&lt;/span&gt;&lt;/p&gt;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class="stat-value-2"&gt;17&lt;/span&gt;&lt;/p&gt;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class="stat-value-2"&gt;9&lt;/span&gt;&lt;/p&gt;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class="stat-value-2"&gt;7&lt;/span&gt;&lt;/p&gt;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class="stat-value-2"&gt;19&lt;/span&gt;&lt;/p&gt;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class="stat-value-2"&gt;3&lt;/span&gt;&lt;/p&gt;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class="stat-value-2"&gt;3&lt;/span&gt;&lt;/p&gt;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class="stat-value-2"&gt;17&lt;/span&gt;&lt;/p&gt;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class="stat-value-2"&gt;6&lt;/span&gt;&lt;/p&gt;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class="stat-value-2"&gt;14&lt;/span&gt;&lt;/p&gt;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class="stat-value-2"&gt;4&lt;/span&gt;&lt;/p&gt;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class="stat-value-2"&gt;6&lt;/span&gt;&lt;/p&gt;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class="stat-value-2"&gt;14&lt;/span&gt;&lt;/p&gt;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class="stat-value-2"&gt;0.19&lt;/span&gt;&lt;/p&gt;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class="stat-value-2"&gt;0.03&lt;/span&gt;&lt;/p&gt;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class="stat-value-2"&gt;0.22&lt;/span&gt;&lt;/p&gt;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class="stat-value-2"&gt;0.18&lt;/span&gt;&lt;/p&gt;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class="stat-value-2"&gt;0.08&lt;/span&gt;&lt;/p&gt;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class="stat-value-2"&gt;0.24&lt;/span&gt;&lt;/p&gt;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class="stat-value-2"&gt;0.12&lt;/span&gt;&lt;/p&gt;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class="stat-value-2"&gt;0.13&lt;/span&gt;&lt;/p&gt;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class="stat-value-2"&gt;0.23&lt;/span&gt;&lt;/p&gt;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class="stat-value-2"&gt;0.24&lt;/span&gt;&lt;/p&gt;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class="stat-value-2"&gt;0.16&lt;/span&gt;&lt;/p&gt;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class="stat-value-2"&gt;0.05&lt;/span&gt;&lt;/p&gt;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class="stat-value-2"&gt;0.09&lt;/span&gt;&lt;/p&gt;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class="stat-value-2"&gt;0.26&lt;/span&gt;&lt;/p&gt;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class="stat-value-2"&gt;1&lt;/span&gt;&lt;/p&gt;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class="stat-value-2"&gt;1&lt;/span&gt;&lt;/p&gt;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class="stat-value-2"&gt;2&lt;/span&gt;&lt;/p&gt;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class="stat-value-2"&gt;1&lt;/span&gt;&lt;/p&gt;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class="stat-value-2"&gt;0&lt;/span&gt;&lt;/p&gt;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class="stat-value-2"&gt;3&lt;/span&gt;&lt;/p&gt;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class="stat-value-2"&gt;5&lt;/span&gt;&lt;/p&gt;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class="stat-value-2"&gt;7&lt;/span&gt;&lt;/p&gt;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class="stat-value-2"&gt;3&lt;/span&gt;&lt;/p&gt;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class="stat-value-2"&gt;6&lt;/span&gt;&lt;/p&gt;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class="stat-value-2"&gt;3&lt;/span&gt;&lt;/p&gt;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class="stat-value-2"&gt;4&lt;/span&gt;&lt;/p&gt;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class="stat-value-2"&gt;0&lt;/span&gt;&lt;/p&gt;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class="stat-value-2"&gt;2&lt;/span&gt;&lt;/p&gt;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class="stat-value-2"&gt;2&lt;/span&gt;&lt;/p&gt;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class="stat-value-2"&gt;1&lt;/span&gt;&lt;/p&gt;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class="stat-value-2"&gt;3&lt;/span&gt;&lt;/p&gt;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class="stat-value-2"&gt;1&lt;/span&gt;&lt;/p&gt;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class="stat-value-2"&gt;1&lt;/span&gt;&lt;/p&gt;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class="stat-value-2"&gt;1&lt;/span&gt;&lt;/p&gt;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class="stat-value-2"&gt;1&lt;/span&gt;&lt;/p&gt;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class="stat-value-2"&gt;1&lt;/span&gt;&lt;/p&gt;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class="stat-value-2"&gt;2&lt;/span&gt;&lt;/p&gt;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class="stat-value-2"&gt;7&lt;/span&gt;&lt;/p&gt;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class="stat-value-2"&gt;1&lt;/span&gt;&lt;/p&gt;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class="stat-value-2"&gt;6&lt;/span&gt;&lt;/p&gt;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class="stat-value-2"&gt;3&lt;/span&gt;&lt;/p&gt;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class="stat-value-2"&gt;1&lt;/span&gt;&lt;/p&gt;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class="stat-value-2"&gt;3&lt;/span&gt;&lt;/p&gt;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class="stat-value-2"&gt;1&lt;/span&gt;&lt;/p&gt;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class="stat-value-2"&gt;2&lt;/span&gt;&lt;/p&gt;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class="stat-value-2"&gt;2&lt;/span&gt;&lt;/p&gt;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class="stat-value-2"&gt;5&lt;/span&gt;&lt;/p&gt;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class="stat-value-2"&gt;1&lt;/span&gt;&lt;/p&gt;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class="stat-value-2"&gt;1&lt;/span&gt;&lt;/p&gt;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class="stat-value-2"&gt;4&lt;/span&gt;&lt;/p&gt;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class="stat-value-2"&gt;4&lt;/span&gt;&lt;/p&gt;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class="stat-value-2"&gt;0&lt;/span&gt;&lt;/p&gt;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class="stat-value-2"&gt;0&lt;/span&gt;&lt;/p&gt;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class="stat-value-2"&gt;4&lt;/span&gt;&lt;/p&gt;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class="stat-value-2"&gt;2&lt;/span&gt;&lt;/p&gt;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class="stat-value-2"&gt;1&lt;/span&gt;&lt;/p&gt;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class="stat-value-2"&gt;2&lt;/span&gt;&lt;/p&gt;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class="stat-value-2"&gt;1&lt;/span&gt;&lt;/p&gt;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class="stat-value-2"&gt;2&lt;/span&gt;&lt;/p&gt;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class="stat-value-2"&gt;2&lt;/span&gt;&lt;/p&gt;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class="stat-value-2"&gt;1&lt;/span&gt;&lt;/p&gt;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class="stat-value-2"&gt;0&lt;/span&gt;&lt;/p&gt;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class="stat-value-2"&gt;0&lt;/span&gt;&lt;/p&gt;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class="stat-value-2"&gt;3&lt;/span&gt;&lt;/p&gt;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class="stat-value-2"&gt;3&lt;/span&gt;&lt;/p&gt;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class="stat-value-2"&gt;2&lt;/span&gt;&lt;/p&gt;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class="stat-value-2"&gt;1&lt;/span&gt;&lt;/p&gt;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class="stat-value-2"&gt;2&lt;/span&gt;&lt;/p&gt;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class="stat-value-2"&gt;3&lt;/span&gt;&lt;/p&gt;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class="stat-value-2"&gt;1&lt;/span&gt;&lt;/p&gt;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class="stat-value-2"&gt;1&lt;/span&gt;&lt;/p&gt;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class="stat-value-2"&gt;1&lt;/span&gt;&lt;/p&gt;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class="stat-value-2"&gt;1&lt;/span&gt;&lt;/p&gt;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class="stat-value-2"&gt;1&lt;/span&gt;&lt;/p&gt;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class="stat-value-2"&gt;1&lt;/span&gt;&lt;/p&gt;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class="stat-value-2"&gt;1&lt;/span&gt;&lt;/p&gt;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class="stat-value-2"&gt;1&lt;/span&gt;&lt;/p&gt;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class="stat-value-2"&gt;4&lt;/span&gt;&lt;/p&gt;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class="stat-value-2"&gt;0&lt;/span&gt;&lt;/p&gt;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class="stat-value-2"&gt;2&lt;/span&gt;&lt;/p&gt;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class="stat-value-2"&gt;8&lt;/span&gt;&lt;/p&gt;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class="stat-value-2"&gt;25&lt;/span&gt;&lt;/p&gt;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class="stat-value-2"&gt;30&lt;/span&gt;&lt;/p&gt;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class="stat-value-2"&gt;16&lt;/span&gt;&lt;/p&gt;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class="stat-value-2"&gt;27&lt;/span&gt;&lt;/p&gt;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class="stat-value-2"&gt;0&lt;/span&gt;&lt;/p&gt;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class="stat-value-2"&gt;25&lt;/span&gt;&lt;/p&gt;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class="stat-value-2"&gt;6&lt;/span&gt;&lt;/p&gt;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class="stat-value-2"&gt;8&lt;/span&gt;&lt;/p&gt;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class="stat-value-2"&gt;18&lt;/span&gt;&lt;/p&gt;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class="stat-value-2"&gt;6&lt;/span&gt;&lt;/p&gt;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class="stat-value-2"&gt;7&lt;/span&gt;&lt;/p&gt;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class="stat-value-2"&gt;2&lt;/span&gt;&lt;/p&gt;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class="stat-value-2"&gt;3&lt;/span&gt;&lt;/p&gt;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class="stat-value-2"&gt;10&lt;/span&gt;&lt;/p&gt;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class="stat-value-2"&gt;3&lt;/span&gt;&lt;/p&gt;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class="stat-value-2"&gt;0.13&lt;/span&gt;&lt;/p&gt;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class="stat-value-2"&gt;0.28&lt;/span&gt;&lt;/p&gt;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class="stat-value-2"&gt;0.38&lt;/span&gt;&lt;/p&gt;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class="stat-value-2"&gt;0.32&lt;/span&gt;&lt;/p&gt;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class="stat-value-2"&gt;0.30&lt;/span&gt;&lt;/p&gt;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class="stat-value-2"&gt;0.32&lt;/span&gt;&lt;/p&gt;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class="stat-value-2"&gt;0.23&lt;/span&gt;&lt;/p&gt;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class="stat-value-2"&gt;0.35&lt;/span&gt;&lt;/p&gt;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class="stat-value-2"&gt;0.25&lt;/span&gt;&lt;/p&gt;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class="stat-value-2"&gt;0.24&lt;/span&gt;&lt;/p&gt;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class="stat-value-2"&gt;0.08&lt;/span&gt;&lt;/p&gt;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class="stat-value-2"&gt;0.33&lt;/span&gt;&lt;/p&gt;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class="stat-value-2"&gt;0.04&lt;/span&gt;&lt;/p&gt;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class="stat-value-2"&gt;0.15&lt;/span&gt;&lt;/p&gt;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class="stat-value-2"&gt;0.06&lt;/span&gt;&lt;/p&gt;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class="stat-value-2"&gt;3&lt;/span&gt;&lt;/p&gt;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class="stat-value-2"&gt;8&lt;/span&gt;&lt;/p&gt;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class="stat-value-2"&gt;6&lt;/span&gt;&lt;/p&gt;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class="stat-value-2"&gt;3&lt;/span&gt;&lt;/p&gt;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class="stat-value-2"&gt;1&lt;/span&gt;&lt;/p&gt;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class="stat-value-2"&gt;1&lt;/span&gt;&lt;/p&gt;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class="stat-value-2"&gt;4&lt;/span&gt;&lt;/p&gt;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class="stat-value-2"&gt;2&lt;/span&gt;&lt;/p&gt;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class="stat-value-2"&gt;0&lt;/span&gt;&lt;/p&gt;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class="stat-value-2"&gt;1&lt;/span&gt;&lt;/p&gt;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class="stat-value-2"&gt;0&lt;/span&gt;&lt;/p&gt;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class="stat-value-2"&gt;8&lt;/span&gt;&lt;/p&gt;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class="stat-value-2"&gt;6&lt;/span&gt;&lt;/p&gt;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class="stat-value-2"&gt;4&lt;/span&gt;&lt;/p&gt;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class="stat-value-2"&gt;3&lt;/span&gt;&lt;/p&gt;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class="stat-value-2"&gt;5&lt;/span&gt;&lt;/p&gt;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class="stat-value-2"&gt;3&lt;/span&gt;&lt;/p&gt;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class="stat-value-2"&gt;6&lt;/span&gt;&lt;/p&gt;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class="stat-value-2"&gt;1&lt;/span&gt;&lt;/p&gt;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class="stat-value-2"&gt;0&lt;/span&gt;&lt;/p&gt;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class="stat-value-2"&gt;1&lt;/span&gt;&lt;/p&gt;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class="stat-value-2"&gt;2&lt;/span&gt;&lt;/p&gt;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class="stat-value-2"&gt;0&lt;/span&gt;&lt;/p&gt;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class="stat-value-2"&gt;0&lt;/span&gt;&lt;/p&gt;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class="stat-value-2"&gt;1&lt;/span&gt;&lt;/p&gt;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class="stat-value-2"&gt;2&lt;/span&gt;&lt;/p&gt;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class="stat-value-2"&gt;3&lt;/span&gt;&lt;/p&gt;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class="stat-value-2"&gt;1&lt;/span&gt;&lt;/p&gt;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class="stat-value-2"&gt;2&lt;/span&gt;&lt;/p&gt;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class="stat-value-2"&gt;1&lt;/span&gt;&lt;/p&gt;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class="stat-value-2"&gt;0&lt;/span&gt;&lt;/p&gt;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class="stat-value-2"&gt;1&lt;/span&gt;&lt;/p&gt;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class="stat-value-2"&gt;2&lt;/span&gt;&lt;/p&gt;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class="stat-value-2"&gt;3&lt;/span&gt;&lt;/p&gt;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class="stat-value-2"&gt;1&lt;/span&gt;&lt;/p&gt;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class="stat-value-2"&gt;0&lt;/span&gt;&lt;/p&gt;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class="stat-value-2"&gt;1&lt;/span&gt;&lt;/p&gt;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class="stat-value-2"&gt;1&lt;/span&gt;&lt;/p&gt;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class="stat-value-2"&gt;1&lt;/span&gt;&lt;/p&gt;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class="stat-value-2"&gt;1&lt;/span&gt;&lt;/p&gt;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class="stat-value-2"&gt;1&lt;/span&gt;&lt;/p&gt;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class="stat-value-2"&gt;1&lt;/span&gt;&lt;/p&gt;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class="stat-value-2"&gt;3&lt;/span&gt;&lt;/p&gt;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class="stat-value-2"&gt;1&lt;/span&gt;&lt;/p&gt;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class="stat-value-2"&gt;3&lt;/span&gt;&lt;/p&gt;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class="stat-value-2"&gt;2&lt;/span&gt;&lt;/p&gt;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class="stat-value-2"&gt;0&lt;/span&gt;&lt;/p&gt;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class="stat-value-2"&gt;1&lt;/span&gt;&lt;/p&gt;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class="stat-value-2"&gt;0&lt;/span&gt;&lt;/p&gt;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class="stat-value-2"&gt;1&lt;/span&gt;&lt;/p&gt;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class="stat-value-2"&gt;2&lt;/span&gt;&lt;/p&gt;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class="stat-value-2"&gt;1&lt;/span&gt;&lt;/p&gt;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class="stat-value-2"&gt;2&lt;/span&gt;&lt;/p&gt;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class="stat-value-2"&gt;1&lt;/span&gt;&lt;/p&gt;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class="stat-value-2"&gt;0&lt;/span&gt;&lt;/p&gt;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class="stat-value-2"&gt;5&lt;/span&gt;&lt;/p&gt;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class="stat-value-2"&gt;6&lt;/span&gt;&lt;/p&gt;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class="stat-value-2"&gt;7&lt;/span&gt;&lt;/p&gt;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class="stat-value-2"&gt;14&lt;/span&gt;&lt;/p&gt;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class="stat-value-2"&gt;7&lt;/span&gt;&lt;/p&gt;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class="stat-value-2"&gt;2&lt;/span&gt;&lt;/p&gt;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class="stat-value-2"&gt;5&lt;/span&gt;&lt;/p&gt;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class="stat-value-2"&gt;4&lt;/span&gt;&lt;/p&gt;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class="stat-value-2"&gt;1&lt;/span&gt;&lt;/p&gt;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class="stat-value-2"&gt;5&lt;/span&gt;&lt;/p&gt;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class="stat-value-2"&gt;3&lt;/span&gt;&lt;/p&gt;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class="stat-value-2"&gt;2&lt;/span&gt;&lt;/p&gt;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class="stat-value-2"&gt;3&lt;/span&gt;&lt;/p&gt;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class="stat-value-2"&gt;7&lt;/span&gt;&lt;/p&gt;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class="stat-value-2"&gt;4&lt;/span&gt;&lt;/p&gt;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class="stat-value-2"&gt;1&lt;/span&gt;&lt;/p&gt;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class="stat-value-2"&gt;2&lt;/span&gt;&lt;/p&gt;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class="stat-value-2"&gt;2&lt;/span&gt;&lt;/p&gt;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class="stat-value-2"&gt;2&lt;/span&gt;&lt;/p&gt;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class="stat-value-2"&gt;1&lt;/span&gt;&lt;/p&gt;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class="stat-value-2"&gt;0&lt;/span&gt;&lt;/p&gt;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class="stat-value-2"&gt;0&lt;/span&gt;&lt;/p&gt;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A41C-BB7C-4101-A5F8-3C3CEC3FF19E}">
  <dimension ref="A1:AT157"/>
  <sheetViews>
    <sheetView topLeftCell="A84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 s="1">
        <f>IFERROR(N2/B2,0)</f>
        <v>8.3333333333333329E-2</v>
      </c>
      <c r="P2">
        <v>2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5</v>
      </c>
      <c r="Y2" s="1">
        <f>IFERROR(X2/B2,0)</f>
        <v>0.41666666666666669</v>
      </c>
      <c r="Z2">
        <v>6</v>
      </c>
      <c r="AA2" s="1">
        <f>IFERROR(Z2/B2,0)</f>
        <v>0.5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12&lt;/td&gt;&lt;td&gt;0&lt;/td&gt;&lt;td&gt;0&lt;/td&gt;&lt;td&gt;0&lt;/td&gt;&lt;td&gt;0&lt;/td&gt;&lt;td&gt;0&lt;/td&gt;&lt;td&gt;0&lt;/td&gt;&lt;td&gt;1&lt;/td&gt;&lt;td&gt;0&lt;/td&gt;&lt;td&gt;0&lt;/td&gt;&lt;td&gt;0&lt;/td&gt;&lt;td&gt;0&lt;/td&gt;&lt;td&gt;1&lt;/td&gt;&lt;td&gt;0.08&lt;/td&gt;&lt;td&gt;6&lt;/td&gt;&lt;td&gt;0.50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12&lt;/td&gt;&lt;td&gt;2&lt;/td&gt;&lt;td&gt;1&lt;/td&gt;&lt;td&gt;0&lt;/td&gt;&lt;td&gt;0&lt;/td&gt;&lt;td&gt;0&lt;/td&gt;&lt;td&gt;0&lt;/td&gt;&lt;td&gt;0&lt;/td&gt;&lt;td&gt;2&lt;/td&gt;&lt;td&gt;5&lt;/td&gt;&lt;td&gt;0.42&lt;/td&gt;&lt;td&gt;6&lt;/td&gt;&lt;td&gt;0.50&lt;/td&gt;&lt;/tr&gt;</v>
      </c>
    </row>
    <row r="3" spans="1:46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f t="shared" ref="Y3:Y24" si="1">IFERROR(X3/B3,0)</f>
        <v>0</v>
      </c>
      <c r="Z3"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" spans="1:46" x14ac:dyDescent="0.3">
      <c r="A4" t="s">
        <v>27</v>
      </c>
      <c r="B4">
        <v>77</v>
      </c>
      <c r="C4">
        <v>0</v>
      </c>
      <c r="D4">
        <v>0</v>
      </c>
      <c r="E4">
        <v>0</v>
      </c>
      <c r="F4">
        <v>4</v>
      </c>
      <c r="G4">
        <v>0</v>
      </c>
      <c r="H4">
        <v>0</v>
      </c>
      <c r="I4">
        <v>0</v>
      </c>
      <c r="J4">
        <v>3</v>
      </c>
      <c r="K4">
        <v>4</v>
      </c>
      <c r="L4">
        <v>1</v>
      </c>
      <c r="M4">
        <v>1</v>
      </c>
      <c r="N4">
        <v>13</v>
      </c>
      <c r="O4" s="1">
        <f t="shared" si="0"/>
        <v>0.16883116883116883</v>
      </c>
      <c r="P4">
        <v>3</v>
      </c>
      <c r="Q4">
        <v>4</v>
      </c>
      <c r="R4">
        <v>2</v>
      </c>
      <c r="S4">
        <v>0</v>
      </c>
      <c r="T4">
        <v>0</v>
      </c>
      <c r="U4">
        <v>0</v>
      </c>
      <c r="V4">
        <v>3</v>
      </c>
      <c r="W4">
        <v>0</v>
      </c>
      <c r="X4">
        <v>12</v>
      </c>
      <c r="Y4" s="1">
        <f t="shared" si="1"/>
        <v>0.15584415584415584</v>
      </c>
      <c r="Z4">
        <v>25</v>
      </c>
      <c r="AA4" s="1">
        <f t="shared" si="2"/>
        <v>0.32467532467532467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77&lt;/td&gt;&lt;td&gt;0&lt;/td&gt;&lt;td&gt;0&lt;/td&gt;&lt;td&gt;0&lt;/td&gt;&lt;td&gt;4&lt;/td&gt;&lt;td&gt;0&lt;/td&gt;&lt;td&gt;0&lt;/td&gt;&lt;td&gt;0&lt;/td&gt;&lt;td&gt;3&lt;/td&gt;&lt;td&gt;4&lt;/td&gt;&lt;td&gt;1&lt;/td&gt;&lt;td&gt;1&lt;/td&gt;&lt;td&gt;13&lt;/td&gt;&lt;td&gt;0.17&lt;/td&gt;&lt;td&gt;25&lt;/td&gt;&lt;td&gt;0.32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77&lt;/td&gt;&lt;td&gt;3&lt;/td&gt;&lt;td&gt;4&lt;/td&gt;&lt;td&gt;2&lt;/td&gt;&lt;td&gt;0&lt;/td&gt;&lt;td&gt;0&lt;/td&gt;&lt;td&gt;0&lt;/td&gt;&lt;td&gt;3&lt;/td&gt;&lt;td&gt;0&lt;/td&gt;&lt;td&gt;12&lt;/td&gt;&lt;td&gt;0.16&lt;/td&gt;&lt;td&gt;25&lt;/td&gt;&lt;td&gt;0.32&lt;/td&gt;&lt;/tr&gt;</v>
      </c>
    </row>
    <row r="5" spans="1:46" x14ac:dyDescent="0.3">
      <c r="A5" t="s">
        <v>28</v>
      </c>
      <c r="B5">
        <v>7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2</v>
      </c>
      <c r="O5" s="1">
        <f t="shared" si="0"/>
        <v>0.2857142857142857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 s="1">
        <f t="shared" si="1"/>
        <v>0.2857142857142857</v>
      </c>
      <c r="Z5">
        <v>4</v>
      </c>
      <c r="AA5" s="1">
        <f t="shared" si="2"/>
        <v>0.5714285714285714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7&lt;/td&gt;&lt;td&gt;0&lt;/td&gt;&lt;td&gt;0&lt;/td&gt;&lt;td&gt;0&lt;/td&gt;&lt;td&gt;1&lt;/td&gt;&lt;td&gt;0&lt;/td&gt;&lt;td&gt;0&lt;/td&gt;&lt;td&gt;1&lt;/td&gt;&lt;td&gt;0&lt;/td&gt;&lt;td&gt;0&lt;/td&gt;&lt;td&gt;0&lt;/td&gt;&lt;td&gt;0&lt;/td&gt;&lt;td&gt;2&lt;/td&gt;&lt;td&gt;0.29&lt;/td&gt;&lt;td&gt;4&lt;/td&gt;&lt;td&gt;0.57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7&lt;/td&gt;&lt;td&gt;1&lt;/td&gt;&lt;td&gt;1&lt;/td&gt;&lt;td&gt;0&lt;/td&gt;&lt;td&gt;0&lt;/td&gt;&lt;td&gt;0&lt;/td&gt;&lt;td&gt;0&lt;/td&gt;&lt;td&gt;0&lt;/td&gt;&lt;td&gt;0&lt;/td&gt;&lt;td&gt;2&lt;/td&gt;&lt;td&gt;0.29&lt;/td&gt;&lt;td&gt;4&lt;/td&gt;&lt;td&gt;0.57&lt;/td&gt;&lt;/tr&gt;</v>
      </c>
    </row>
    <row r="6" spans="1:46" x14ac:dyDescent="0.3">
      <c r="A6" t="s">
        <v>29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" spans="1:46" x14ac:dyDescent="0.3">
      <c r="A7" t="s">
        <v>30</v>
      </c>
      <c r="B7">
        <v>90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7</v>
      </c>
      <c r="O7" s="1">
        <f t="shared" si="0"/>
        <v>7.7777777777777779E-2</v>
      </c>
      <c r="P7">
        <v>6</v>
      </c>
      <c r="Q7">
        <v>4</v>
      </c>
      <c r="R7">
        <v>2</v>
      </c>
      <c r="S7">
        <v>2</v>
      </c>
      <c r="T7">
        <v>3</v>
      </c>
      <c r="U7">
        <v>0</v>
      </c>
      <c r="V7">
        <v>7</v>
      </c>
      <c r="W7">
        <v>4</v>
      </c>
      <c r="X7">
        <v>28</v>
      </c>
      <c r="Y7" s="1">
        <f t="shared" si="1"/>
        <v>0.31111111111111112</v>
      </c>
      <c r="Z7">
        <v>35</v>
      </c>
      <c r="AA7" s="1">
        <f t="shared" si="2"/>
        <v>0.3888888888888889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90&lt;/td&gt;&lt;td&gt;0&lt;/td&gt;&lt;td&gt;0&lt;/td&gt;&lt;td&gt;0&lt;/td&gt;&lt;td&gt;5&lt;/td&gt;&lt;td&gt;0&lt;/td&gt;&lt;td&gt;0&lt;/td&gt;&lt;td&gt;1&lt;/td&gt;&lt;td&gt;0&lt;/td&gt;&lt;td&gt;1&lt;/td&gt;&lt;td&gt;0&lt;/td&gt;&lt;td&gt;0&lt;/td&gt;&lt;td&gt;7&lt;/td&gt;&lt;td&gt;0.08&lt;/td&gt;&lt;td&gt;35&lt;/td&gt;&lt;td&gt;0.39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90&lt;/td&gt;&lt;td&gt;6&lt;/td&gt;&lt;td&gt;4&lt;/td&gt;&lt;td&gt;2&lt;/td&gt;&lt;td&gt;2&lt;/td&gt;&lt;td&gt;3&lt;/td&gt;&lt;td&gt;0&lt;/td&gt;&lt;td&gt;7&lt;/td&gt;&lt;td&gt;4&lt;/td&gt;&lt;td&gt;28&lt;/td&gt;&lt;td&gt;0.31&lt;/td&gt;&lt;td&gt;35&lt;/td&gt;&lt;td&gt;0.39&lt;/td&gt;&lt;/tr&gt;</v>
      </c>
    </row>
    <row r="8" spans="1:46" x14ac:dyDescent="0.3">
      <c r="A8" t="s">
        <v>31</v>
      </c>
      <c r="B8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12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12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90</v>
      </c>
      <c r="C10">
        <v>0</v>
      </c>
      <c r="D10">
        <v>1</v>
      </c>
      <c r="E10">
        <v>2</v>
      </c>
      <c r="F10">
        <v>2</v>
      </c>
      <c r="G10">
        <v>0</v>
      </c>
      <c r="H10">
        <v>0</v>
      </c>
      <c r="I10">
        <v>0</v>
      </c>
      <c r="J10">
        <v>1</v>
      </c>
      <c r="K10">
        <v>4</v>
      </c>
      <c r="L10">
        <v>2</v>
      </c>
      <c r="M10">
        <v>0</v>
      </c>
      <c r="N10">
        <v>12</v>
      </c>
      <c r="O10" s="1">
        <f t="shared" si="0"/>
        <v>0.13333333333333333</v>
      </c>
      <c r="P10">
        <v>3</v>
      </c>
      <c r="Q10">
        <v>4</v>
      </c>
      <c r="R10">
        <v>4</v>
      </c>
      <c r="S10">
        <v>0</v>
      </c>
      <c r="T10">
        <v>0</v>
      </c>
      <c r="U10">
        <v>0</v>
      </c>
      <c r="V10">
        <v>0</v>
      </c>
      <c r="W10">
        <v>1</v>
      </c>
      <c r="X10">
        <v>12</v>
      </c>
      <c r="Y10" s="1">
        <f t="shared" si="1"/>
        <v>0.13333333333333333</v>
      </c>
      <c r="Z10">
        <v>24</v>
      </c>
      <c r="AA10" s="1">
        <f t="shared" si="2"/>
        <v>0.26666666666666666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90&lt;/td&gt;&lt;td&gt;0&lt;/td&gt;&lt;td&gt;1&lt;/td&gt;&lt;td&gt;2&lt;/td&gt;&lt;td&gt;2&lt;/td&gt;&lt;td&gt;0&lt;/td&gt;&lt;td&gt;0&lt;/td&gt;&lt;td&gt;0&lt;/td&gt;&lt;td&gt;1&lt;/td&gt;&lt;td&gt;4&lt;/td&gt;&lt;td&gt;2&lt;/td&gt;&lt;td&gt;0&lt;/td&gt;&lt;td&gt;12&lt;/td&gt;&lt;td&gt;0.13&lt;/td&gt;&lt;td&gt;24&lt;/td&gt;&lt;td&gt;0.27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90&lt;/td&gt;&lt;td&gt;3&lt;/td&gt;&lt;td&gt;4&lt;/td&gt;&lt;td&gt;4&lt;/td&gt;&lt;td&gt;0&lt;/td&gt;&lt;td&gt;0&lt;/td&gt;&lt;td&gt;0&lt;/td&gt;&lt;td&gt;0&lt;/td&gt;&lt;td&gt;1&lt;/td&gt;&lt;td&gt;12&lt;/td&gt;&lt;td&gt;0.13&lt;/td&gt;&lt;td&gt;24&lt;/td&gt;&lt;td&gt;0.27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22</v>
      </c>
      <c r="C12">
        <v>0</v>
      </c>
      <c r="D12">
        <v>0</v>
      </c>
      <c r="E12">
        <v>0</v>
      </c>
      <c r="F12">
        <v>2</v>
      </c>
      <c r="G12">
        <v>0</v>
      </c>
      <c r="H12">
        <v>1</v>
      </c>
      <c r="I12">
        <v>2</v>
      </c>
      <c r="J12">
        <v>0</v>
      </c>
      <c r="K12">
        <v>1</v>
      </c>
      <c r="L12">
        <v>0</v>
      </c>
      <c r="M12">
        <v>0</v>
      </c>
      <c r="N12">
        <v>6</v>
      </c>
      <c r="O12" s="1">
        <f t="shared" si="0"/>
        <v>0.27272727272727271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 s="1">
        <f t="shared" si="1"/>
        <v>0.13636363636363635</v>
      </c>
      <c r="Z12">
        <v>9</v>
      </c>
      <c r="AA12" s="1">
        <f t="shared" si="2"/>
        <v>0.40909090909090912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22&lt;/td&gt;&lt;td&gt;0&lt;/td&gt;&lt;td&gt;0&lt;/td&gt;&lt;td&gt;0&lt;/td&gt;&lt;td&gt;2&lt;/td&gt;&lt;td&gt;0&lt;/td&gt;&lt;td&gt;1&lt;/td&gt;&lt;td&gt;2&lt;/td&gt;&lt;td&gt;0&lt;/td&gt;&lt;td&gt;1&lt;/td&gt;&lt;td&gt;0&lt;/td&gt;&lt;td&gt;0&lt;/td&gt;&lt;td&gt;6&lt;/td&gt;&lt;td&gt;0.27&lt;/td&gt;&lt;td&gt;9&lt;/td&gt;&lt;td&gt;0.41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22&lt;/td&gt;&lt;td&gt;3&lt;/td&gt;&lt;td&gt;0&lt;/td&gt;&lt;td&gt;0&lt;/td&gt;&lt;td&gt;0&lt;/td&gt;&lt;td&gt;0&lt;/td&gt;&lt;td&gt;0&lt;/td&gt;&lt;td&gt;0&lt;/td&gt;&lt;td&gt;0&lt;/td&gt;&lt;td&gt;3&lt;/td&gt;&lt;td&gt;0.14&lt;/td&gt;&lt;td&gt;9&lt;/td&gt;&lt;td&gt;0.41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68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2</v>
      </c>
      <c r="J14">
        <v>0</v>
      </c>
      <c r="K14">
        <v>1</v>
      </c>
      <c r="L14">
        <v>0</v>
      </c>
      <c r="M14">
        <v>0</v>
      </c>
      <c r="N14">
        <v>5</v>
      </c>
      <c r="O14" s="1">
        <f t="shared" si="0"/>
        <v>7.3529411764705885E-2</v>
      </c>
      <c r="P14">
        <v>0</v>
      </c>
      <c r="Q14">
        <v>4</v>
      </c>
      <c r="R14">
        <v>1</v>
      </c>
      <c r="S14">
        <v>2</v>
      </c>
      <c r="T14">
        <v>2</v>
      </c>
      <c r="U14">
        <v>1</v>
      </c>
      <c r="V14">
        <v>0</v>
      </c>
      <c r="W14">
        <v>4</v>
      </c>
      <c r="X14">
        <v>14</v>
      </c>
      <c r="Y14" s="1">
        <f t="shared" si="1"/>
        <v>0.20588235294117646</v>
      </c>
      <c r="Z14">
        <v>19</v>
      </c>
      <c r="AA14" s="1">
        <f t="shared" si="2"/>
        <v>0.27941176470588236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68&lt;/td&gt;&lt;td&gt;0&lt;/td&gt;&lt;td&gt;0&lt;/td&gt;&lt;td&gt;0&lt;/td&gt;&lt;td&gt;1&lt;/td&gt;&lt;td&gt;0&lt;/td&gt;&lt;td&gt;1&lt;/td&gt;&lt;td&gt;2&lt;/td&gt;&lt;td&gt;0&lt;/td&gt;&lt;td&gt;1&lt;/td&gt;&lt;td&gt;0&lt;/td&gt;&lt;td&gt;0&lt;/td&gt;&lt;td&gt;5&lt;/td&gt;&lt;td&gt;0.07&lt;/td&gt;&lt;td&gt;19&lt;/td&gt;&lt;td&gt;0.28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68&lt;/td&gt;&lt;td&gt;0&lt;/td&gt;&lt;td&gt;4&lt;/td&gt;&lt;td&gt;1&lt;/td&gt;&lt;td&gt;2&lt;/td&gt;&lt;td&gt;2&lt;/td&gt;&lt;td&gt;1&lt;/td&gt;&lt;td&gt;0&lt;/td&gt;&lt;td&gt;4&lt;/td&gt;&lt;td&gt;14&lt;/td&gt;&lt;td&gt;0.21&lt;/td&gt;&lt;td&gt;19&lt;/td&gt;&lt;td&gt;0.28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4</v>
      </c>
      <c r="O15" s="1">
        <f t="shared" si="0"/>
        <v>4.4444444444444446E-2</v>
      </c>
      <c r="P15">
        <v>1</v>
      </c>
      <c r="Q15">
        <v>6</v>
      </c>
      <c r="R15">
        <v>1</v>
      </c>
      <c r="S15">
        <v>1</v>
      </c>
      <c r="T15">
        <v>1</v>
      </c>
      <c r="U15">
        <v>1</v>
      </c>
      <c r="V15">
        <v>6</v>
      </c>
      <c r="W15">
        <v>5</v>
      </c>
      <c r="X15">
        <v>21</v>
      </c>
      <c r="Y15" s="1">
        <f t="shared" si="1"/>
        <v>0.23333333333333334</v>
      </c>
      <c r="Z15">
        <v>25</v>
      </c>
      <c r="AA15" s="1">
        <f t="shared" si="2"/>
        <v>0.27777777777777779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0.04&lt;/td&gt;&lt;td&gt;25&lt;/td&gt;&lt;td&gt;0.28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1&lt;/td&gt;&lt;td&gt;6&lt;/td&gt;&lt;td&gt;1&lt;/td&gt;&lt;td&gt;1&lt;/td&gt;&lt;td&gt;1&lt;/td&gt;&lt;td&gt;1&lt;/td&gt;&lt;td&gt;6&lt;/td&gt;&lt;td&gt;5&lt;/td&gt;&lt;td&gt;21&lt;/td&gt;&lt;td&gt;0.23&lt;/td&gt;&lt;td&gt;25&lt;/td&gt;&lt;td&gt;0.28&lt;/td&gt;&lt;/tr&gt;</v>
      </c>
    </row>
    <row r="16" spans="1:46" x14ac:dyDescent="0.3">
      <c r="A16" t="s">
        <v>39</v>
      </c>
      <c r="B16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2</v>
      </c>
      <c r="L16">
        <v>0</v>
      </c>
      <c r="M16">
        <v>0</v>
      </c>
      <c r="N16">
        <v>3</v>
      </c>
      <c r="O16" s="1">
        <f t="shared" si="0"/>
        <v>0.10714285714285714</v>
      </c>
      <c r="P16">
        <v>2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2</v>
      </c>
      <c r="X16">
        <v>5</v>
      </c>
      <c r="Y16" s="1">
        <f t="shared" si="1"/>
        <v>0.17857142857142858</v>
      </c>
      <c r="Z16">
        <v>8</v>
      </c>
      <c r="AA16" s="1">
        <f t="shared" si="2"/>
        <v>0.2857142857142857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28&lt;/td&gt;&lt;td&gt;0&lt;/td&gt;&lt;td&gt;0&lt;/td&gt;&lt;td&gt;0&lt;/td&gt;&lt;td&gt;0&lt;/td&gt;&lt;td&gt;0&lt;/td&gt;&lt;td&gt;0&lt;/td&gt;&lt;td&gt;1&lt;/td&gt;&lt;td&gt;0&lt;/td&gt;&lt;td&gt;2&lt;/td&gt;&lt;td&gt;0&lt;/td&gt;&lt;td&gt;0&lt;/td&gt;&lt;td&gt;3&lt;/td&gt;&lt;td&gt;0.11&lt;/td&gt;&lt;td&gt;8&lt;/td&gt;&lt;td&gt;0.29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28&lt;/td&gt;&lt;td&gt;2&lt;/td&gt;&lt;td&gt;0&lt;/td&gt;&lt;td&gt;0&lt;/td&gt;&lt;td&gt;0&lt;/td&gt;&lt;td&gt;0&lt;/td&gt;&lt;td&gt;1&lt;/td&gt;&lt;td&gt;0&lt;/td&gt;&lt;td&gt;2&lt;/td&gt;&lt;td&gt;5&lt;/td&gt;&lt;td&gt;0.18&lt;/td&gt;&lt;td&gt;8&lt;/td&gt;&lt;td&gt;0.29&lt;/td&gt;&lt;/tr&gt;</v>
      </c>
    </row>
    <row r="17" spans="1:46" x14ac:dyDescent="0.3">
      <c r="A17" t="s">
        <v>40</v>
      </c>
      <c r="B17">
        <v>70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4</v>
      </c>
      <c r="O17" s="1">
        <f t="shared" si="0"/>
        <v>5.7142857142857141E-2</v>
      </c>
      <c r="P17">
        <v>2</v>
      </c>
      <c r="Q17">
        <v>1</v>
      </c>
      <c r="R17">
        <v>1</v>
      </c>
      <c r="S17">
        <v>1</v>
      </c>
      <c r="T17">
        <v>2</v>
      </c>
      <c r="U17">
        <v>1</v>
      </c>
      <c r="V17">
        <v>0</v>
      </c>
      <c r="W17">
        <v>4</v>
      </c>
      <c r="X17">
        <v>11</v>
      </c>
      <c r="Y17" s="1">
        <f t="shared" si="1"/>
        <v>0.15714285714285714</v>
      </c>
      <c r="Z17">
        <v>15</v>
      </c>
      <c r="AA17" s="1">
        <f t="shared" si="2"/>
        <v>0.21428571428571427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70&lt;/td&gt;&lt;td&gt;0&lt;/td&gt;&lt;td&gt;0&lt;/td&gt;&lt;td&gt;0&lt;/td&gt;&lt;td&gt;2&lt;/td&gt;&lt;td&gt;0&lt;/td&gt;&lt;td&gt;0&lt;/td&gt;&lt;td&gt;1&lt;/td&gt;&lt;td&gt;1&lt;/td&gt;&lt;td&gt;0&lt;/td&gt;&lt;td&gt;0&lt;/td&gt;&lt;td&gt;0&lt;/td&gt;&lt;td&gt;4&lt;/td&gt;&lt;td&gt;0.06&lt;/td&gt;&lt;td&gt;15&lt;/td&gt;&lt;td&gt;0.21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70&lt;/td&gt;&lt;td&gt;2&lt;/td&gt;&lt;td&gt;1&lt;/td&gt;&lt;td&gt;1&lt;/td&gt;&lt;td&gt;1&lt;/td&gt;&lt;td&gt;2&lt;/td&gt;&lt;td&gt;1&lt;/td&gt;&lt;td&gt;0&lt;/td&gt;&lt;td&gt;4&lt;/td&gt;&lt;td&gt;11&lt;/td&gt;&lt;td&gt;0.16&lt;/td&gt;&lt;td&gt;15&lt;/td&gt;&lt;td&gt;0.21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70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2</v>
      </c>
      <c r="K19">
        <v>2</v>
      </c>
      <c r="L19">
        <v>1</v>
      </c>
      <c r="M19">
        <v>2</v>
      </c>
      <c r="N19">
        <v>10</v>
      </c>
      <c r="O19" s="1">
        <f t="shared" si="0"/>
        <v>0.14285714285714285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4</v>
      </c>
      <c r="Y19" s="1">
        <f t="shared" si="1"/>
        <v>5.7142857142857141E-2</v>
      </c>
      <c r="Z19">
        <v>14</v>
      </c>
      <c r="AA19" s="1">
        <f t="shared" si="2"/>
        <v>0.2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70&lt;/td&gt;&lt;td&gt;1&lt;/td&gt;&lt;td&gt;0&lt;/td&gt;&lt;td&gt;0&lt;/td&gt;&lt;td&gt;1&lt;/td&gt;&lt;td&gt;0&lt;/td&gt;&lt;td&gt;0&lt;/td&gt;&lt;td&gt;1&lt;/td&gt;&lt;td&gt;2&lt;/td&gt;&lt;td&gt;2&lt;/td&gt;&lt;td&gt;1&lt;/td&gt;&lt;td&gt;2&lt;/td&gt;&lt;td&gt;10&lt;/td&gt;&lt;td&gt;0.14&lt;/td&gt;&lt;td&gt;14&lt;/td&gt;&lt;td&gt;0.20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70&lt;/td&gt;&lt;td&gt;1&lt;/td&gt;&lt;td&gt;1&lt;/td&gt;&lt;td&gt;0&lt;/td&gt;&lt;td&gt;0&lt;/td&gt;&lt;td&gt;0&lt;/td&gt;&lt;td&gt;0&lt;/td&gt;&lt;td&gt;0&lt;/td&gt;&lt;td&gt;2&lt;/td&gt;&lt;td&gt;4&lt;/td&gt;&lt;td&gt;0.06&lt;/td&gt;&lt;td&gt;14&lt;/td&gt;&lt;td&gt;0.20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82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3</v>
      </c>
      <c r="J21">
        <v>1</v>
      </c>
      <c r="K21">
        <v>1</v>
      </c>
      <c r="L21">
        <v>0</v>
      </c>
      <c r="M21">
        <v>0</v>
      </c>
      <c r="N21">
        <v>7</v>
      </c>
      <c r="O21" s="1">
        <f t="shared" si="0"/>
        <v>8.5365853658536592E-2</v>
      </c>
      <c r="P21">
        <v>3</v>
      </c>
      <c r="Q21">
        <v>5</v>
      </c>
      <c r="R21">
        <v>2</v>
      </c>
      <c r="S21">
        <v>1</v>
      </c>
      <c r="T21">
        <v>2</v>
      </c>
      <c r="U21">
        <v>1</v>
      </c>
      <c r="V21">
        <v>5</v>
      </c>
      <c r="W21">
        <v>4</v>
      </c>
      <c r="X21">
        <v>23</v>
      </c>
      <c r="Y21" s="1">
        <f t="shared" si="1"/>
        <v>0.28048780487804881</v>
      </c>
      <c r="Z21">
        <v>30</v>
      </c>
      <c r="AA21" s="1">
        <f t="shared" si="2"/>
        <v>0.36585365853658536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82&lt;/td&gt;&lt;td&gt;0&lt;/td&gt;&lt;td&gt;0&lt;/td&gt;&lt;td&gt;0&lt;/td&gt;&lt;td&gt;2&lt;/td&gt;&lt;td&gt;0&lt;/td&gt;&lt;td&gt;0&lt;/td&gt;&lt;td&gt;3&lt;/td&gt;&lt;td&gt;1&lt;/td&gt;&lt;td&gt;1&lt;/td&gt;&lt;td&gt;0&lt;/td&gt;&lt;td&gt;0&lt;/td&gt;&lt;td&gt;7&lt;/td&gt;&lt;td&gt;0.09&lt;/td&gt;&lt;td&gt;30&lt;/td&gt;&lt;td&gt;0.37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82&lt;/td&gt;&lt;td&gt;3&lt;/td&gt;&lt;td&gt;5&lt;/td&gt;&lt;td&gt;2&lt;/td&gt;&lt;td&gt;1&lt;/td&gt;&lt;td&gt;2&lt;/td&gt;&lt;td&gt;1&lt;/td&gt;&lt;td&gt;5&lt;/td&gt;&lt;td&gt;4&lt;/td&gt;&lt;td&gt;23&lt;/td&gt;&lt;td&gt;0.28&lt;/td&gt;&lt;td&gt;30&lt;/td&gt;&lt;td&gt;0.37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3</v>
      </c>
      <c r="O22" s="1">
        <f t="shared" si="0"/>
        <v>3.3333333333333333E-2</v>
      </c>
      <c r="P22">
        <v>7</v>
      </c>
      <c r="Q22">
        <v>3</v>
      </c>
      <c r="R22">
        <v>1</v>
      </c>
      <c r="S22">
        <v>1</v>
      </c>
      <c r="T22">
        <v>2</v>
      </c>
      <c r="U22">
        <v>0</v>
      </c>
      <c r="V22">
        <v>12</v>
      </c>
      <c r="W22">
        <v>1</v>
      </c>
      <c r="X22">
        <v>27</v>
      </c>
      <c r="Y22" s="1">
        <f t="shared" si="1"/>
        <v>0.3</v>
      </c>
      <c r="Z22">
        <v>30</v>
      </c>
      <c r="AA22" s="1">
        <f t="shared" si="2"/>
        <v>0.33333333333333331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0&lt;/td&gt;&lt;td&gt;0&lt;/td&gt;&lt;td&gt;0&lt;/td&gt;&lt;td&gt;0&lt;/td&gt;&lt;td&gt;1&lt;/td&gt;&lt;td&gt;1&lt;/td&gt;&lt;td&gt;1&lt;/td&gt;&lt;td&gt;0&lt;/td&gt;&lt;td&gt;3&lt;/td&gt;&lt;td&gt;0.03&lt;/td&gt;&lt;td&gt;30&lt;/td&gt;&lt;td&gt;0.33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7&lt;/td&gt;&lt;td&gt;3&lt;/td&gt;&lt;td&gt;1&lt;/td&gt;&lt;td&gt;1&lt;/td&gt;&lt;td&gt;2&lt;/td&gt;&lt;td&gt;0&lt;/td&gt;&lt;td&gt;12&lt;/td&gt;&lt;td&gt;1&lt;/td&gt;&lt;td&gt;27&lt;/td&gt;&lt;td&gt;0.30&lt;/td&gt;&lt;td&gt;30&lt;/td&gt;&lt;td&gt;0.33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86</v>
      </c>
      <c r="C24">
        <v>0</v>
      </c>
      <c r="D24">
        <v>0</v>
      </c>
      <c r="E24">
        <v>0</v>
      </c>
      <c r="F24">
        <v>9</v>
      </c>
      <c r="G24">
        <v>0</v>
      </c>
      <c r="H24">
        <v>1</v>
      </c>
      <c r="I24">
        <v>2</v>
      </c>
      <c r="J24">
        <v>0</v>
      </c>
      <c r="K24">
        <v>1</v>
      </c>
      <c r="L24">
        <v>0</v>
      </c>
      <c r="M24">
        <v>0</v>
      </c>
      <c r="N24">
        <v>13</v>
      </c>
      <c r="O24" s="1">
        <f t="shared" si="0"/>
        <v>0.15116279069767441</v>
      </c>
      <c r="P24">
        <v>3</v>
      </c>
      <c r="Q24">
        <v>10</v>
      </c>
      <c r="R24">
        <v>4</v>
      </c>
      <c r="S24">
        <v>0</v>
      </c>
      <c r="T24">
        <v>0</v>
      </c>
      <c r="U24">
        <v>0</v>
      </c>
      <c r="V24">
        <v>1</v>
      </c>
      <c r="W24">
        <v>4</v>
      </c>
      <c r="X24">
        <v>22</v>
      </c>
      <c r="Y24" s="1">
        <f t="shared" si="1"/>
        <v>0.2558139534883721</v>
      </c>
      <c r="Z24">
        <v>35</v>
      </c>
      <c r="AA24" s="1">
        <f t="shared" si="2"/>
        <v>0.40697674418604651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86&lt;/td&gt;&lt;td&gt;0&lt;/td&gt;&lt;td&gt;0&lt;/td&gt;&lt;td&gt;0&lt;/td&gt;&lt;td&gt;9&lt;/td&gt;&lt;td&gt;0&lt;/td&gt;&lt;td&gt;1&lt;/td&gt;&lt;td&gt;2&lt;/td&gt;&lt;td&gt;0&lt;/td&gt;&lt;td&gt;1&lt;/td&gt;&lt;td&gt;0&lt;/td&gt;&lt;td&gt;0&lt;/td&gt;&lt;td&gt;13&lt;/td&gt;&lt;td&gt;0.15&lt;/td&gt;&lt;td&gt;35&lt;/td&gt;&lt;td&gt;0.41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86&lt;/td&gt;&lt;td&gt;3&lt;/td&gt;&lt;td&gt;10&lt;/td&gt;&lt;td&gt;4&lt;/td&gt;&lt;td&gt;0&lt;/td&gt;&lt;td&gt;0&lt;/td&gt;&lt;td&gt;0&lt;/td&gt;&lt;td&gt;1&lt;/td&gt;&lt;td&gt;4&lt;/td&gt;&lt;td&gt;22&lt;/td&gt;&lt;td&gt;0.26&lt;/td&gt;&lt;td&gt;35&lt;/td&gt;&lt;td&gt;0.41&lt;/td&gt;&lt;/tr&gt;</v>
      </c>
    </row>
    <row r="26" spans="1:46" x14ac:dyDescent="0.3">
      <c r="A26" t="str">
        <f>AC4</f>
        <v>&lt;tr&gt;&lt;td&gt;Makovicka&lt;/td&gt;&lt;td&gt;77&lt;/td&gt;&lt;td&gt;0&lt;/td&gt;&lt;td&gt;0&lt;/td&gt;&lt;td&gt;0&lt;/td&gt;&lt;td&gt;4&lt;/td&gt;&lt;td&gt;0&lt;/td&gt;&lt;td&gt;0&lt;/td&gt;&lt;td&gt;0&lt;/td&gt;&lt;td&gt;3&lt;/td&gt;&lt;td&gt;4&lt;/td&gt;&lt;td&gt;1&lt;/td&gt;&lt;td&gt;1&lt;/td&gt;&lt;td&gt;13&lt;/td&gt;&lt;td&gt;0.17&lt;/td&gt;&lt;td&gt;25&lt;/td&gt;&lt;td&gt;0.32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0.04&lt;/td&gt;&lt;td&gt;25&lt;/td&gt;&lt;td&gt;0.28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86&lt;/td&gt;&lt;td&gt;0&lt;/td&gt;&lt;td&gt;0&lt;/td&gt;&lt;td&gt;0&lt;/td&gt;&lt;td&gt;9&lt;/td&gt;&lt;td&gt;0&lt;/td&gt;&lt;td&gt;1&lt;/td&gt;&lt;td&gt;2&lt;/td&gt;&lt;td&gt;0&lt;/td&gt;&lt;td&gt;1&lt;/td&gt;&lt;td&gt;0&lt;/td&gt;&lt;td&gt;0&lt;/td&gt;&lt;td&gt;13&lt;/td&gt;&lt;td&gt;0.15&lt;/td&gt;&lt;td&gt;35&lt;/td&gt;&lt;td&gt;0.41&lt;/td&gt;&lt;/tr&gt;</v>
      </c>
    </row>
    <row r="30" spans="1:46" x14ac:dyDescent="0.3">
      <c r="A30" t="str">
        <f>AC12</f>
        <v>&lt;tr&gt;&lt;td&gt;Reda&lt;/td&gt;&lt;td&gt;22&lt;/td&gt;&lt;td&gt;0&lt;/td&gt;&lt;td&gt;0&lt;/td&gt;&lt;td&gt;0&lt;/td&gt;&lt;td&gt;2&lt;/td&gt;&lt;td&gt;0&lt;/td&gt;&lt;td&gt;1&lt;/td&gt;&lt;td&gt;2&lt;/td&gt;&lt;td&gt;0&lt;/td&gt;&lt;td&gt;1&lt;/td&gt;&lt;td&gt;0&lt;/td&gt;&lt;td&gt;0&lt;/td&gt;&lt;td&gt;6&lt;/td&gt;&lt;td&gt;0.27&lt;/td&gt;&lt;td&gt;9&lt;/td&gt;&lt;td&gt;0.41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0&lt;/td&gt;&lt;td&gt;0&lt;/td&gt;&lt;td&gt;0&lt;/td&gt;&lt;td&gt;0&lt;/td&gt;&lt;td&gt;1&lt;/td&gt;&lt;td&gt;1&lt;/td&gt;&lt;td&gt;1&lt;/td&gt;&lt;td&gt;0&lt;/td&gt;&lt;td&gt;3&lt;/td&gt;&lt;td&gt;0.03&lt;/td&gt;&lt;td&gt;30&lt;/td&gt;&lt;td&gt;0.33&lt;/td&gt;&lt;/tr&gt;</v>
      </c>
    </row>
    <row r="32" spans="1:46" x14ac:dyDescent="0.3">
      <c r="A32" t="str">
        <f>AC3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3" spans="1:1" x14ac:dyDescent="0.3">
      <c r="A33" t="str">
        <f>AC7</f>
        <v>&lt;tr&gt;&lt;td&gt;Donnelly&lt;/td&gt;&lt;td&gt;90&lt;/td&gt;&lt;td&gt;0&lt;/td&gt;&lt;td&gt;0&lt;/td&gt;&lt;td&gt;0&lt;/td&gt;&lt;td&gt;5&lt;/td&gt;&lt;td&gt;0&lt;/td&gt;&lt;td&gt;0&lt;/td&gt;&lt;td&gt;1&lt;/td&gt;&lt;td&gt;0&lt;/td&gt;&lt;td&gt;1&lt;/td&gt;&lt;td&gt;0&lt;/td&gt;&lt;td&gt;0&lt;/td&gt;&lt;td&gt;7&lt;/td&gt;&lt;td&gt;0.08&lt;/td&gt;&lt;td&gt;35&lt;/td&gt;&lt;td&gt;0.39&lt;/td&gt;&lt;/tr&gt;</v>
      </c>
    </row>
    <row r="34" spans="1:1" x14ac:dyDescent="0.3">
      <c r="A34" t="str">
        <f>AC8</f>
        <v>&lt;tr&gt;&lt;td&gt;Drozda&lt;/td&gt;&lt;td&gt;12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68&lt;/td&gt;&lt;td&gt;0&lt;/td&gt;&lt;td&gt;0&lt;/td&gt;&lt;td&gt;0&lt;/td&gt;&lt;td&gt;1&lt;/td&gt;&lt;td&gt;0&lt;/td&gt;&lt;td&gt;1&lt;/td&gt;&lt;td&gt;2&lt;/td&gt;&lt;td&gt;0&lt;/td&gt;&lt;td&gt;1&lt;/td&gt;&lt;td&gt;0&lt;/td&gt;&lt;td&gt;0&lt;/td&gt;&lt;td&gt;5&lt;/td&gt;&lt;td&gt;0.07&lt;/td&gt;&lt;td&gt;19&lt;/td&gt;&lt;td&gt;0.28&lt;/td&gt;&lt;/tr&gt;</v>
      </c>
    </row>
    <row r="38" spans="1:1" x14ac:dyDescent="0.3">
      <c r="A38" t="str">
        <f>AC21</f>
        <v>&lt;tr&gt;&lt;td&gt;Snowden&lt;/td&gt;&lt;td&gt;82&lt;/td&gt;&lt;td&gt;0&lt;/td&gt;&lt;td&gt;0&lt;/td&gt;&lt;td&gt;0&lt;/td&gt;&lt;td&gt;2&lt;/td&gt;&lt;td&gt;0&lt;/td&gt;&lt;td&gt;0&lt;/td&gt;&lt;td&gt;3&lt;/td&gt;&lt;td&gt;1&lt;/td&gt;&lt;td&gt;1&lt;/td&gt;&lt;td&gt;0&lt;/td&gt;&lt;td&gt;0&lt;/td&gt;&lt;td&gt;7&lt;/td&gt;&lt;td&gt;0.09&lt;/td&gt;&lt;td&gt;30&lt;/td&gt;&lt;td&gt;0.37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7&lt;/td&gt;&lt;td&gt;0&lt;/td&gt;&lt;td&gt;0&lt;/td&gt;&lt;td&gt;0&lt;/td&gt;&lt;td&gt;1&lt;/td&gt;&lt;td&gt;0&lt;/td&gt;&lt;td&gt;0&lt;/td&gt;&lt;td&gt;1&lt;/td&gt;&lt;td&gt;0&lt;/td&gt;&lt;td&gt;0&lt;/td&gt;&lt;td&gt;0&lt;/td&gt;&lt;td&gt;0&lt;/td&gt;&lt;td&gt;2&lt;/td&gt;&lt;td&gt;0.29&lt;/td&gt;&lt;td&gt;4&lt;/td&gt;&lt;td&gt;0.57&lt;/td&gt;&lt;/tr&gt;</v>
      </c>
    </row>
    <row r="42" spans="1:1" x14ac:dyDescent="0.3">
      <c r="A42" t="str">
        <f>AC10</f>
        <v>&lt;tr&gt;&lt;td&gt;Rudney&lt;/td&gt;&lt;td&gt;90&lt;/td&gt;&lt;td&gt;0&lt;/td&gt;&lt;td&gt;1&lt;/td&gt;&lt;td&gt;2&lt;/td&gt;&lt;td&gt;2&lt;/td&gt;&lt;td&gt;0&lt;/td&gt;&lt;td&gt;0&lt;/td&gt;&lt;td&gt;0&lt;/td&gt;&lt;td&gt;1&lt;/td&gt;&lt;td&gt;4&lt;/td&gt;&lt;td&gt;2&lt;/td&gt;&lt;td&gt;0&lt;/td&gt;&lt;td&gt;12&lt;/td&gt;&lt;td&gt;0.13&lt;/td&gt;&lt;td&gt;24&lt;/td&gt;&lt;td&gt;0.27&lt;/td&gt;&lt;/tr&gt;</v>
      </c>
    </row>
    <row r="43" spans="1:1" x14ac:dyDescent="0.3">
      <c r="A43" t="str">
        <f>AC2</f>
        <v>&lt;tr&gt;&lt;td&gt;Jones&lt;/td&gt;&lt;td&gt;12&lt;/td&gt;&lt;td&gt;0&lt;/td&gt;&lt;td&gt;0&lt;/td&gt;&lt;td&gt;0&lt;/td&gt;&lt;td&gt;0&lt;/td&gt;&lt;td&gt;0&lt;/td&gt;&lt;td&gt;0&lt;/td&gt;&lt;td&gt;1&lt;/td&gt;&lt;td&gt;0&lt;/td&gt;&lt;td&gt;0&lt;/td&gt;&lt;td&gt;0&lt;/td&gt;&lt;td&gt;0&lt;/td&gt;&lt;td&gt;1&lt;/td&gt;&lt;td&gt;0.08&lt;/td&gt;&lt;td&gt;6&lt;/td&gt;&lt;td&gt;0.50&lt;/td&gt;&lt;/tr&gt;</v>
      </c>
    </row>
    <row r="44" spans="1:1" x14ac:dyDescent="0.3">
      <c r="A44" t="str">
        <f>AC19</f>
        <v>&lt;tr&gt;&lt;td&gt;Lewis&lt;/td&gt;&lt;td&gt;70&lt;/td&gt;&lt;td&gt;1&lt;/td&gt;&lt;td&gt;0&lt;/td&gt;&lt;td&gt;0&lt;/td&gt;&lt;td&gt;1&lt;/td&gt;&lt;td&gt;0&lt;/td&gt;&lt;td&gt;0&lt;/td&gt;&lt;td&gt;1&lt;/td&gt;&lt;td&gt;2&lt;/td&gt;&lt;td&gt;2&lt;/td&gt;&lt;td&gt;1&lt;/td&gt;&lt;td&gt;2&lt;/td&gt;&lt;td&gt;10&lt;/td&gt;&lt;td&gt;0.14&lt;/td&gt;&lt;td&gt;14&lt;/td&gt;&lt;td&gt;0.20&lt;/td&gt;&lt;/tr&gt;</v>
      </c>
    </row>
    <row r="45" spans="1:1" x14ac:dyDescent="0.3">
      <c r="A45" t="str">
        <f>AC17</f>
        <v>&lt;tr&gt;&lt;td&gt;Carpenter&lt;/td&gt;&lt;td&gt;70&lt;/td&gt;&lt;td&gt;0&lt;/td&gt;&lt;td&gt;0&lt;/td&gt;&lt;td&gt;0&lt;/td&gt;&lt;td&gt;2&lt;/td&gt;&lt;td&gt;0&lt;/td&gt;&lt;td&gt;0&lt;/td&gt;&lt;td&gt;1&lt;/td&gt;&lt;td&gt;1&lt;/td&gt;&lt;td&gt;0&lt;/td&gt;&lt;td&gt;0&lt;/td&gt;&lt;td&gt;0&lt;/td&gt;&lt;td&gt;4&lt;/td&gt;&lt;td&gt;0.06&lt;/td&gt;&lt;td&gt;15&lt;/td&gt;&lt;td&gt;0.21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28&lt;/td&gt;&lt;td&gt;0&lt;/td&gt;&lt;td&gt;0&lt;/td&gt;&lt;td&gt;0&lt;/td&gt;&lt;td&gt;0&lt;/td&gt;&lt;td&gt;0&lt;/td&gt;&lt;td&gt;0&lt;/td&gt;&lt;td&gt;1&lt;/td&gt;&lt;td&gt;0&lt;/td&gt;&lt;td&gt;2&lt;/td&gt;&lt;td&gt;0&lt;/td&gt;&lt;td&gt;0&lt;/td&gt;&lt;td&gt;3&lt;/td&gt;&lt;td&gt;0.11&lt;/td&gt;&lt;td&gt;8&lt;/td&gt;&lt;td&gt;0.29&lt;/td&gt;&lt;/tr&gt;</v>
      </c>
    </row>
    <row r="48" spans="1:1" x14ac:dyDescent="0.3">
      <c r="A48" t="str">
        <f>AC6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0" spans="1:1" x14ac:dyDescent="0.3">
      <c r="A50" t="str">
        <f>AT4</f>
        <v>&lt;tr&gt;&lt;td&gt;Makovicka&lt;/td&gt;&lt;td&gt;77&lt;/td&gt;&lt;td&gt;3&lt;/td&gt;&lt;td&gt;4&lt;/td&gt;&lt;td&gt;2&lt;/td&gt;&lt;td&gt;0&lt;/td&gt;&lt;td&gt;0&lt;/td&gt;&lt;td&gt;0&lt;/td&gt;&lt;td&gt;3&lt;/td&gt;&lt;td&gt;0&lt;/td&gt;&lt;td&gt;12&lt;/td&gt;&lt;td&gt;0.16&lt;/td&gt;&lt;td&gt;25&lt;/td&gt;&lt;td&gt;0.32&lt;/td&gt;&lt;/tr&gt;</v>
      </c>
    </row>
    <row r="51" spans="1:1" x14ac:dyDescent="0.3">
      <c r="A51" t="str">
        <f>AT15</f>
        <v>&lt;tr&gt;&lt;td&gt;Williams&lt;/td&gt;&lt;td&gt;90&lt;/td&gt;&lt;td&gt;1&lt;/td&gt;&lt;td&gt;6&lt;/td&gt;&lt;td&gt;1&lt;/td&gt;&lt;td&gt;1&lt;/td&gt;&lt;td&gt;1&lt;/td&gt;&lt;td&gt;1&lt;/td&gt;&lt;td&gt;6&lt;/td&gt;&lt;td&gt;5&lt;/td&gt;&lt;td&gt;21&lt;/td&gt;&lt;td&gt;0.23&lt;/td&gt;&lt;td&gt;25&lt;/td&gt;&lt;td&gt;0.28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86&lt;/td&gt;&lt;td&gt;3&lt;/td&gt;&lt;td&gt;10&lt;/td&gt;&lt;td&gt;4&lt;/td&gt;&lt;td&gt;0&lt;/td&gt;&lt;td&gt;0&lt;/td&gt;&lt;td&gt;0&lt;/td&gt;&lt;td&gt;1&lt;/td&gt;&lt;td&gt;4&lt;/td&gt;&lt;td&gt;22&lt;/td&gt;&lt;td&gt;0.26&lt;/td&gt;&lt;td&gt;35&lt;/td&gt;&lt;td&gt;0.41&lt;/td&gt;&lt;/tr&gt;</v>
      </c>
    </row>
    <row r="54" spans="1:1" x14ac:dyDescent="0.3">
      <c r="A54" t="str">
        <f>AT12</f>
        <v>&lt;tr&gt;&lt;td&gt;Reda&lt;/td&gt;&lt;td&gt;22&lt;/td&gt;&lt;td&gt;3&lt;/td&gt;&lt;td&gt;0&lt;/td&gt;&lt;td&gt;0&lt;/td&gt;&lt;td&gt;0&lt;/td&gt;&lt;td&gt;0&lt;/td&gt;&lt;td&gt;0&lt;/td&gt;&lt;td&gt;0&lt;/td&gt;&lt;td&gt;0&lt;/td&gt;&lt;td&gt;3&lt;/td&gt;&lt;td&gt;0.14&lt;/td&gt;&lt;td&gt;9&lt;/td&gt;&lt;td&gt;0.41&lt;/td&gt;&lt;/tr&gt;</v>
      </c>
    </row>
    <row r="55" spans="1:1" x14ac:dyDescent="0.3">
      <c r="A55" t="str">
        <f>AT22</f>
        <v>&lt;tr&gt;&lt;td&gt;Borer&lt;/td&gt;&lt;td&gt;90&lt;/td&gt;&lt;td&gt;7&lt;/td&gt;&lt;td&gt;3&lt;/td&gt;&lt;td&gt;1&lt;/td&gt;&lt;td&gt;1&lt;/td&gt;&lt;td&gt;2&lt;/td&gt;&lt;td&gt;0&lt;/td&gt;&lt;td&gt;12&lt;/td&gt;&lt;td&gt;1&lt;/td&gt;&lt;td&gt;27&lt;/td&gt;&lt;td&gt;0.30&lt;/td&gt;&lt;td&gt;30&lt;/td&gt;&lt;td&gt;0.33&lt;/td&gt;&lt;/tr&gt;</v>
      </c>
    </row>
    <row r="56" spans="1:1" x14ac:dyDescent="0.3">
      <c r="A56" t="str">
        <f>AT3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7" spans="1:1" x14ac:dyDescent="0.3">
      <c r="A57" t="str">
        <f>AT7</f>
        <v>&lt;tr&gt;&lt;td&gt;Donnelly&lt;/td&gt;&lt;td&gt;90&lt;/td&gt;&lt;td&gt;6&lt;/td&gt;&lt;td&gt;4&lt;/td&gt;&lt;td&gt;2&lt;/td&gt;&lt;td&gt;2&lt;/td&gt;&lt;td&gt;3&lt;/td&gt;&lt;td&gt;0&lt;/td&gt;&lt;td&gt;7&lt;/td&gt;&lt;td&gt;4&lt;/td&gt;&lt;td&gt;28&lt;/td&gt;&lt;td&gt;0.31&lt;/td&gt;&lt;td&gt;35&lt;/td&gt;&lt;td&gt;0.39&lt;/td&gt;&lt;/tr&gt;</v>
      </c>
    </row>
    <row r="58" spans="1:1" x14ac:dyDescent="0.3">
      <c r="A58" t="str">
        <f>AT8</f>
        <v>&lt;tr&gt;&lt;td&gt;Drozda&lt;/td&gt;&lt;td&gt;12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68&lt;/td&gt;&lt;td&gt;0&lt;/td&gt;&lt;td&gt;4&lt;/td&gt;&lt;td&gt;1&lt;/td&gt;&lt;td&gt;2&lt;/td&gt;&lt;td&gt;2&lt;/td&gt;&lt;td&gt;1&lt;/td&gt;&lt;td&gt;0&lt;/td&gt;&lt;td&gt;4&lt;/td&gt;&lt;td&gt;14&lt;/td&gt;&lt;td&gt;0.21&lt;/td&gt;&lt;td&gt;19&lt;/td&gt;&lt;td&gt;0.28&lt;/td&gt;&lt;/tr&gt;</v>
      </c>
    </row>
    <row r="62" spans="1:1" x14ac:dyDescent="0.3">
      <c r="A62" t="str">
        <f>AT21</f>
        <v>&lt;tr&gt;&lt;td&gt;Snowden&lt;/td&gt;&lt;td&gt;82&lt;/td&gt;&lt;td&gt;3&lt;/td&gt;&lt;td&gt;5&lt;/td&gt;&lt;td&gt;2&lt;/td&gt;&lt;td&gt;1&lt;/td&gt;&lt;td&gt;2&lt;/td&gt;&lt;td&gt;1&lt;/td&gt;&lt;td&gt;5&lt;/td&gt;&lt;td&gt;4&lt;/td&gt;&lt;td&gt;23&lt;/td&gt;&lt;td&gt;0.28&lt;/td&gt;&lt;td&gt;30&lt;/td&gt;&lt;td&gt;0.37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7&lt;/td&gt;&lt;td&gt;1&lt;/td&gt;&lt;td&gt;1&lt;/td&gt;&lt;td&gt;0&lt;/td&gt;&lt;td&gt;0&lt;/td&gt;&lt;td&gt;0&lt;/td&gt;&lt;td&gt;0&lt;/td&gt;&lt;td&gt;0&lt;/td&gt;&lt;td&gt;0&lt;/td&gt;&lt;td&gt;2&lt;/td&gt;&lt;td&gt;0.29&lt;/td&gt;&lt;td&gt;4&lt;/td&gt;&lt;td&gt;0.57&lt;/td&gt;&lt;/tr&gt;</v>
      </c>
    </row>
    <row r="66" spans="1:23" x14ac:dyDescent="0.3">
      <c r="A66" t="str">
        <f>AT10</f>
        <v>&lt;tr&gt;&lt;td&gt;Rudney&lt;/td&gt;&lt;td&gt;90&lt;/td&gt;&lt;td&gt;3&lt;/td&gt;&lt;td&gt;4&lt;/td&gt;&lt;td&gt;4&lt;/td&gt;&lt;td&gt;0&lt;/td&gt;&lt;td&gt;0&lt;/td&gt;&lt;td&gt;0&lt;/td&gt;&lt;td&gt;0&lt;/td&gt;&lt;td&gt;1&lt;/td&gt;&lt;td&gt;12&lt;/td&gt;&lt;td&gt;0.13&lt;/td&gt;&lt;td&gt;24&lt;/td&gt;&lt;td&gt;0.27&lt;/td&gt;&lt;/tr&gt;</v>
      </c>
    </row>
    <row r="67" spans="1:23" x14ac:dyDescent="0.3">
      <c r="A67" t="str">
        <f>AT2</f>
        <v>&lt;tr&gt;&lt;td&gt;Jones&lt;/td&gt;&lt;td&gt;12&lt;/td&gt;&lt;td&gt;2&lt;/td&gt;&lt;td&gt;1&lt;/td&gt;&lt;td&gt;0&lt;/td&gt;&lt;td&gt;0&lt;/td&gt;&lt;td&gt;0&lt;/td&gt;&lt;td&gt;0&lt;/td&gt;&lt;td&gt;0&lt;/td&gt;&lt;td&gt;2&lt;/td&gt;&lt;td&gt;5&lt;/td&gt;&lt;td&gt;0.42&lt;/td&gt;&lt;td&gt;6&lt;/td&gt;&lt;td&gt;0.50&lt;/td&gt;&lt;/tr&gt;</v>
      </c>
    </row>
    <row r="68" spans="1:23" x14ac:dyDescent="0.3">
      <c r="A68" t="str">
        <f>AT19</f>
        <v>&lt;tr&gt;&lt;td&gt;Lewis&lt;/td&gt;&lt;td&gt;70&lt;/td&gt;&lt;td&gt;1&lt;/td&gt;&lt;td&gt;1&lt;/td&gt;&lt;td&gt;0&lt;/td&gt;&lt;td&gt;0&lt;/td&gt;&lt;td&gt;0&lt;/td&gt;&lt;td&gt;0&lt;/td&gt;&lt;td&gt;0&lt;/td&gt;&lt;td&gt;2&lt;/td&gt;&lt;td&gt;4&lt;/td&gt;&lt;td&gt;0.06&lt;/td&gt;&lt;td&gt;14&lt;/td&gt;&lt;td&gt;0.20&lt;/td&gt;&lt;/tr&gt;</v>
      </c>
    </row>
    <row r="69" spans="1:23" x14ac:dyDescent="0.3">
      <c r="A69" t="str">
        <f>AT17</f>
        <v>&lt;tr&gt;&lt;td&gt;Carpenter&lt;/td&gt;&lt;td&gt;70&lt;/td&gt;&lt;td&gt;2&lt;/td&gt;&lt;td&gt;1&lt;/td&gt;&lt;td&gt;1&lt;/td&gt;&lt;td&gt;1&lt;/td&gt;&lt;td&gt;2&lt;/td&gt;&lt;td&gt;1&lt;/td&gt;&lt;td&gt;0&lt;/td&gt;&lt;td&gt;4&lt;/td&gt;&lt;td&gt;11&lt;/td&gt;&lt;td&gt;0.16&lt;/td&gt;&lt;td&gt;15&lt;/td&gt;&lt;td&gt;0.21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28&lt;/td&gt;&lt;td&gt;2&lt;/td&gt;&lt;td&gt;0&lt;/td&gt;&lt;td&gt;0&lt;/td&gt;&lt;td&gt;0&lt;/td&gt;&lt;td&gt;0&lt;/td&gt;&lt;td&gt;1&lt;/td&gt;&lt;td&gt;0&lt;/td&gt;&lt;td&gt;2&lt;/td&gt;&lt;td&gt;5&lt;/td&gt;&lt;td&gt;0.18&lt;/td&gt;&lt;td&gt;8&lt;/td&gt;&lt;td&gt;0.29&lt;/td&gt;&lt;/tr&gt;</v>
      </c>
    </row>
    <row r="72" spans="1:23" x14ac:dyDescent="0.3">
      <c r="A72" t="str">
        <f>AT6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77,</v>
      </c>
      <c r="B76" t="str">
        <f>"minutes: "&amp;$B$15&amp;","</f>
        <v>minutes: 90,</v>
      </c>
      <c r="C76" t="str">
        <f>"minutes: "&amp;$B$9&amp;","</f>
        <v>minutes: 0,</v>
      </c>
      <c r="D76" t="str">
        <f>"minutes: "&amp;$B$24&amp;","</f>
        <v>minutes: 86,</v>
      </c>
      <c r="E76" t="str">
        <f>"minutes: "&amp;$B$12&amp;","</f>
        <v>minutes: 22,</v>
      </c>
      <c r="F76" t="str">
        <f>"minutes: "&amp;$B$22&amp;","</f>
        <v>minutes: 90,</v>
      </c>
      <c r="G76" t="str">
        <f>"minutes: "&amp;$B$3&amp;","</f>
        <v>minutes: 0,</v>
      </c>
      <c r="H76" t="str">
        <f>"minutes: "&amp;$B$7&amp;","</f>
        <v>minutes: 90,</v>
      </c>
      <c r="I76" t="str">
        <f>"minutes: "&amp;$B$8&amp;","</f>
        <v>minutes: 12,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68,</v>
      </c>
      <c r="M76" t="str">
        <f>"minutes: "&amp;$B$21&amp;","</f>
        <v>minutes: 82,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7,</v>
      </c>
      <c r="Q76" t="str">
        <f>"minutes: "&amp;$B$10&amp;","</f>
        <v>minutes: 90,</v>
      </c>
      <c r="R76" t="str">
        <f>"minutes: "&amp;$B$2&amp;","</f>
        <v>minutes: 12,</v>
      </c>
      <c r="S76" t="str">
        <f>"minutes: "&amp;$B$19&amp;","</f>
        <v>minutes: 70,</v>
      </c>
      <c r="T76" t="str">
        <f>"minutes: "&amp;$B$17&amp;","</f>
        <v>minutes: 70,</v>
      </c>
      <c r="U76" t="str">
        <f>"minutes: "&amp;$B$18&amp;","</f>
        <v>minutes: 0,</v>
      </c>
      <c r="V76" t="str">
        <f>"minutes: "&amp;$B$16&amp;","</f>
        <v>minutes: 28,</v>
      </c>
      <c r="W76" t="str">
        <f>"minutes: "&amp;$B$6&amp;","</f>
        <v>minutes: 7,</v>
      </c>
    </row>
    <row r="77" spans="1:23" x14ac:dyDescent="0.3">
      <c r="A77" t="str">
        <f>"totalActions: "&amp;$Z$4&amp;","</f>
        <v>totalActions: 25,</v>
      </c>
      <c r="B77" t="str">
        <f>"totalActions: "&amp;$Z$15&amp;","</f>
        <v>totalActions: 25,</v>
      </c>
      <c r="C77" t="str">
        <f>"totalActions: "&amp;$Z$9&amp;","</f>
        <v>totalActions: 0,</v>
      </c>
      <c r="D77" t="str">
        <f>"totalActions: "&amp;$Z$24&amp;","</f>
        <v>totalActions: 35,</v>
      </c>
      <c r="E77" t="str">
        <f>"totalActions: "&amp;$Z$12&amp;","</f>
        <v>totalActions: 9,</v>
      </c>
      <c r="F77" t="str">
        <f>"totalActions: "&amp;$Z$22&amp;","</f>
        <v>totalActions: 30,</v>
      </c>
      <c r="G77" t="str">
        <f>"totalActions: "&amp;$Z$3&amp;","</f>
        <v>totalActions: 0,</v>
      </c>
      <c r="H77" t="str">
        <f>"totalActions: "&amp;$Z$7&amp;","</f>
        <v>totalActions: 35,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19,</v>
      </c>
      <c r="M77" t="str">
        <f>"totalActions: "&amp;$Z$21&amp;","</f>
        <v>totalActions: 30,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4,</v>
      </c>
      <c r="Q77" t="str">
        <f>"totalActions: "&amp;$Z$10&amp;","</f>
        <v>totalActions: 24,</v>
      </c>
      <c r="R77" t="str">
        <f>"totalActions: "&amp;$Z$2&amp;","</f>
        <v>totalActions: 6,</v>
      </c>
      <c r="S77" t="str">
        <f>"totalActions: "&amp;$Z$19&amp;","</f>
        <v>totalActions: 14,</v>
      </c>
      <c r="T77" t="str">
        <f>"totalActions: "&amp;$Z$17&amp;","</f>
        <v>totalActions: 15,</v>
      </c>
      <c r="U77" t="str">
        <f>"totalActions: "&amp;$Z$18&amp;","</f>
        <v>totalActions: 0,</v>
      </c>
      <c r="V77" t="str">
        <f>"totalActions: "&amp;$Z$16&amp;","</f>
        <v>totalActions: 8,</v>
      </c>
      <c r="W77" t="str">
        <f>"totalActions: "&amp;$Z$6&amp;","</f>
        <v>totalActions: 0,</v>
      </c>
    </row>
    <row r="78" spans="1:23" x14ac:dyDescent="0.3">
      <c r="A78" t="str">
        <f>"actionsPerMinute: "&amp;TEXT($AA$4,"0.00")&amp;","</f>
        <v>actionsPerMinute: 0.32,</v>
      </c>
      <c r="B78" t="str">
        <f>"actionsPerMinute: "&amp;TEXT($AA$15,"0.00")&amp;","</f>
        <v>actionsPerMinute: 0.28,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0.41,</v>
      </c>
      <c r="E78" t="str">
        <f>"actionsPerMinute: "&amp;TEXT($AA$12,"0.00")&amp;","</f>
        <v>actionsPerMinute: 0.41,</v>
      </c>
      <c r="F78" t="str">
        <f>"actionsPerMinute: "&amp;TEXT($AA$22,"0.00")&amp;","</f>
        <v>actionsPerMinute: 0.33,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0.39,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0.28,</v>
      </c>
      <c r="M78" t="str">
        <f>"actionsPerMinute: "&amp;TEXT($AA$21,"0.00")&amp;","</f>
        <v>actionsPerMinute: 0.37,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0.57,</v>
      </c>
      <c r="Q78" t="str">
        <f>"actionsPerMinute: "&amp;TEXT($AA$10,"0.00")&amp;","</f>
        <v>actionsPerMinute: 0.27,</v>
      </c>
      <c r="R78" t="str">
        <f>"actionsPerMinute: "&amp;TEXT($AA$2,"0.00")&amp;","</f>
        <v>actionsPerMinute: 0.50,</v>
      </c>
      <c r="S78" t="str">
        <f>"actionsPerMinute: "&amp;TEXT($AA$19,"0.00")&amp;","</f>
        <v>actionsPerMinute: 0.20,</v>
      </c>
      <c r="T78" t="str">
        <f>"actionsPerMinute: "&amp;TEXT($AA$17,"0.00")&amp;","</f>
        <v>actionsPerMinute: 0.21,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0.29,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13,</v>
      </c>
      <c r="B81" t="str">
        <f>"totalActions: "&amp;$N$15&amp;","</f>
        <v>totalActions: 4,</v>
      </c>
      <c r="C81" t="str">
        <f>"totalActions: "&amp;$N$9&amp;","</f>
        <v>totalActions: 0,</v>
      </c>
      <c r="D81" t="str">
        <f>"totalActions: "&amp;$N$24&amp;","</f>
        <v>totalActions: 13,</v>
      </c>
      <c r="E81" t="str">
        <f>"totalActions: "&amp;$N$12&amp;","</f>
        <v>totalActions: 6,</v>
      </c>
      <c r="F81" t="str">
        <f>"totalActions: "&amp;$N$22&amp;","</f>
        <v>totalActions: 3,</v>
      </c>
      <c r="G81" t="str">
        <f>"totalActions: "&amp;$N$3&amp;","</f>
        <v>totalActions: 0,</v>
      </c>
      <c r="H81" t="str">
        <f>"totalActions: "&amp;$N$7&amp;","</f>
        <v>totalActions: 7,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5,</v>
      </c>
      <c r="M81" t="str">
        <f>"totalActions: "&amp;$N$21&amp;","</f>
        <v>totalActions: 7,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2,</v>
      </c>
      <c r="Q81" t="str">
        <f>"totalActions: "&amp;$N$10&amp;","</f>
        <v>totalActions: 12,</v>
      </c>
      <c r="R81" t="str">
        <f>"totalActions: "&amp;$N$2&amp;","</f>
        <v>totalActions: 1,</v>
      </c>
      <c r="S81" t="str">
        <f>"totalActions: "&amp;$N$19&amp;","</f>
        <v>totalActions: 10,</v>
      </c>
      <c r="T81" t="str">
        <f>"totalActions: "&amp;$N$17&amp;","</f>
        <v>totalActions: 4,</v>
      </c>
      <c r="U81" t="str">
        <f>"totalActions: "&amp;$N$18&amp;","</f>
        <v>totalActions: 0,</v>
      </c>
      <c r="V81" t="str">
        <f>"totalActions: "&amp;$N$16&amp;","</f>
        <v>totalActions: 3,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0.17,</v>
      </c>
      <c r="B82" t="str">
        <f>"actionsPerMinute: "&amp;TEXT($O$15,"0.00")&amp;","</f>
        <v>actionsPerMinute: 0.04,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0.15,</v>
      </c>
      <c r="E82" t="str">
        <f>"actionsPerMinute: "&amp;TEXT($O$12,"0.00")&amp;","</f>
        <v>actionsPerMinute: 0.27,</v>
      </c>
      <c r="F82" t="str">
        <f>"actionsPerMinute: "&amp;TEXT($O$22,"0.00")&amp;","</f>
        <v>actionsPerMinute: 0.03,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0.08,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0.07,</v>
      </c>
      <c r="M82" t="str">
        <f>"actionsPerMinute: "&amp;TEXT($O$21,"0.00")&amp;","</f>
        <v>actionsPerMinute: 0.09,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0.29,</v>
      </c>
      <c r="Q82" t="str">
        <f>"actionsPerMinute: "&amp;TEXT($O$10,"0.00")&amp;","</f>
        <v>actionsPerMinute: 0.13,</v>
      </c>
      <c r="R82" t="str">
        <f>"actionsPerMinute: "&amp;TEXT($O$2,"0.00")&amp;","</f>
        <v>actionsPerMinute: 0.08,</v>
      </c>
      <c r="S82" t="str">
        <f>"actionsPerMinute: "&amp;TEXT($O$19,"0.00")&amp;","</f>
        <v>actionsPerMinute: 0.14,</v>
      </c>
      <c r="T82" t="str">
        <f>"actionsPerMinute: "&amp;TEXT($O$17,"0.00")&amp;","</f>
        <v>actionsPerMinute: 0.06,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0.11,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1,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1,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2,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1,</v>
      </c>
      <c r="E87" t="str">
        <f>"effectiveCrosses: "&amp;$H$12&amp;","</f>
        <v>effectiveCrosses: 1,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1,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0,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0,</v>
      </c>
      <c r="C88" t="str">
        <f>"oneVOnes: "&amp;$I$9&amp;","</f>
        <v>oneVOnes: 0,</v>
      </c>
      <c r="D88" t="str">
        <f>"oneVOnes: "&amp;$I$24&amp;","</f>
        <v>oneVOnes: 2,</v>
      </c>
      <c r="E88" t="str">
        <f>"oneVOnes: "&amp;$I$12&amp;","</f>
        <v>oneVOnes: 2,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1,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2,</v>
      </c>
      <c r="M88" t="str">
        <f>"oneVOnes: "&amp;$I$21&amp;","</f>
        <v>oneVOnes: 3,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1,</v>
      </c>
      <c r="Q88" t="str">
        <f>"oneVOnes: "&amp;$I$10&amp;","</f>
        <v>oneVOnes: 0,</v>
      </c>
      <c r="R88" t="str">
        <f>"oneVOnes: "&amp;$I$2&amp;","</f>
        <v>oneVOnes: 1,</v>
      </c>
      <c r="S88" t="str">
        <f>"oneVOnes: "&amp;$I$19&amp;","</f>
        <v>oneVOnes: 1,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1,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3,</v>
      </c>
      <c r="B89" t="str">
        <f>"headers: "&amp;$J$15&amp;","</f>
        <v>headers: 1,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1,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1,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0,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2,</v>
      </c>
      <c r="T89" t="str">
        <f>"headers: "&amp;$J$17&amp;","</f>
        <v>headers: 1,</v>
      </c>
      <c r="U89" t="str">
        <f>"headers: "&amp;$J$18&amp;","</f>
        <v>headers: 0,</v>
      </c>
      <c r="V89" t="str">
        <f>"headers: "&amp;$J$16&amp;","</f>
        <v>headers: 0,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4,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1,</v>
      </c>
      <c r="E90" t="str">
        <f>"spEarned: "&amp;$K$12&amp;","</f>
        <v>spEarned: 1,</v>
      </c>
      <c r="F90" t="str">
        <f>"spEarned: "&amp;$K$22&amp;","</f>
        <v>spEarned: 1,</v>
      </c>
      <c r="G90" t="str">
        <f>"spEarned: "&amp;$K$3&amp;","</f>
        <v>spEarned: 0,</v>
      </c>
      <c r="H90" t="str">
        <f>"spEarned: "&amp;$K$7&amp;","</f>
        <v>spEarned: 1,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1,</v>
      </c>
      <c r="M90" t="str">
        <f>"spEarned: "&amp;$K$21&amp;","</f>
        <v>spEarned: 1,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4,</v>
      </c>
      <c r="R90" t="str">
        <f>"spEarned: "&amp;$K$2&amp;","</f>
        <v>spEarned: 0,</v>
      </c>
      <c r="S90" t="str">
        <f>"spEarned: "&amp;$K$19&amp;","</f>
        <v>spEarned: 2,</v>
      </c>
      <c r="T90" t="str">
        <f>"spEarned: "&amp;$K$17&amp;","</f>
        <v>spEarned: 0,</v>
      </c>
      <c r="U90" t="str">
        <f>"spEarned: "&amp;$K$18&amp;","</f>
        <v>spEarned: 0,</v>
      </c>
      <c r="V90" t="str">
        <f>"spEarned: "&amp;$K$16&amp;","</f>
        <v>spEarned: 2,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1,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2,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1,</v>
      </c>
      <c r="B92" t="str">
        <f>"offTargetShots: "&amp;$L$15&amp;","</f>
        <v>offTargetShots: 1,</v>
      </c>
      <c r="C92" t="str">
        <f>"offTargetShots: "&amp;$L$9&amp;","</f>
        <v>offTargetShots: 0,</v>
      </c>
      <c r="D92" t="str">
        <f>"offTargetShots: "&amp;$L$24&amp;","</f>
        <v>offTargetShots: 0,</v>
      </c>
      <c r="E92" t="str">
        <f>"offTargetShots: "&amp;$L$12&amp;","</f>
        <v>offTargetShots: 0,</v>
      </c>
      <c r="F92" t="str">
        <f>"offTargetShots: "&amp;$L$22&amp;","</f>
        <v>offTargetShots: 1,</v>
      </c>
      <c r="G92" t="str">
        <f>"offTargetShots: "&amp;$L$3&amp;","</f>
        <v>offTargetShots: 0,</v>
      </c>
      <c r="H92" t="str">
        <f>"offTargetShots: "&amp;$L$7&amp;","</f>
        <v>offTargetShots: 0,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2,</v>
      </c>
      <c r="R92" t="str">
        <f>"offTargetShots: "&amp;$L$2&amp;","</f>
        <v>offTargetShots: 0,</v>
      </c>
      <c r="S92" t="str">
        <f>"offTargetShots: "&amp;$L$19&amp;","</f>
        <v>offTargetShots: 1,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12,</v>
      </c>
      <c r="B96" t="str">
        <f>"totalActions: "&amp;$X$15&amp;","</f>
        <v>totalActions: 21,</v>
      </c>
      <c r="C96" t="str">
        <f>"totalActions: "&amp;$X$9&amp;","</f>
        <v>totalActions: 0,</v>
      </c>
      <c r="D96" t="str">
        <f>"totalActions: "&amp;$X$24&amp;","</f>
        <v>totalActions: 22,</v>
      </c>
      <c r="E96" t="str">
        <f>"totalActions: "&amp;$X$12&amp;","</f>
        <v>totalActions: 3,</v>
      </c>
      <c r="F96" t="str">
        <f>"totalActions: "&amp;$X$22&amp;","</f>
        <v>totalActions: 27,</v>
      </c>
      <c r="G96" t="str">
        <f>"totalActions: "&amp;$X$3&amp;","</f>
        <v>totalActions: 0,</v>
      </c>
      <c r="H96" t="str">
        <f>"totalActions: "&amp;$X$7&amp;","</f>
        <v>totalActions: 28,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14,</v>
      </c>
      <c r="M96" t="str">
        <f>"totalActions: "&amp;$X$21&amp;","</f>
        <v>totalActions: 23,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2,</v>
      </c>
      <c r="Q96" t="str">
        <f>"totalActions: "&amp;$X$10&amp;","</f>
        <v>totalActions: 12,</v>
      </c>
      <c r="R96" t="str">
        <f>"totalActions: "&amp;$X$2&amp;","</f>
        <v>totalActions: 5,</v>
      </c>
      <c r="S96" t="str">
        <f>"totalActions: "&amp;$X$19&amp;","</f>
        <v>totalActions: 4,</v>
      </c>
      <c r="T96" t="str">
        <f>"totalActions: "&amp;$X$17&amp;","</f>
        <v>totalActions: 11,</v>
      </c>
      <c r="U96" t="str">
        <f>"totalActions: "&amp;$X$18&amp;","</f>
        <v>totalActions: 0,</v>
      </c>
      <c r="V96" t="str">
        <f>"totalActions: "&amp;$X$16&amp;","</f>
        <v>totalActions: 5,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0.16,</v>
      </c>
      <c r="B97" t="str">
        <f>"actionsPerMinute: "&amp;TEXT($Y$15,"0.00")&amp;","</f>
        <v>actionsPerMinute: 0.23,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0.26,</v>
      </c>
      <c r="E97" t="str">
        <f>"actionsPerMinute: "&amp;TEXT($Y$12,"0.00")&amp;","</f>
        <v>actionsPerMinute: 0.14,</v>
      </c>
      <c r="F97" t="str">
        <f>"actionsPerMinute: "&amp;TEXT($Y$22,"0.00")&amp;","</f>
        <v>actionsPerMinute: 0.30,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0.31,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0.21,</v>
      </c>
      <c r="M97" t="str">
        <f>"actionsPerMinute: "&amp;TEXT($Y$21,"0.00")&amp;","</f>
        <v>actionsPerMinute: 0.28,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0.29,</v>
      </c>
      <c r="Q97" t="str">
        <f>"actionsPerMinute: "&amp;TEXT($Y$10,"0.00")&amp;","</f>
        <v>actionsPerMinute: 0.13,</v>
      </c>
      <c r="R97" t="str">
        <f>"actionsPerMinute: "&amp;TEXT($Y$2,"0.00")&amp;","</f>
        <v>actionsPerMinute: 0.42,</v>
      </c>
      <c r="S97" t="str">
        <f>"actionsPerMinute: "&amp;TEXT($Y$19,"0.00")&amp;","</f>
        <v>actionsPerMinute: 0.06,</v>
      </c>
      <c r="T97" t="str">
        <f>"actionsPerMinute: "&amp;TEXT($Y$17,"0.00")&amp;","</f>
        <v>actionsPerMinute: 0.16,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0.18,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3,</v>
      </c>
      <c r="B98" t="str">
        <f>"tackles: "&amp;$P$15&amp;","</f>
        <v>tackles: 1,</v>
      </c>
      <c r="C98" t="str">
        <f>"tackles: "&amp;$P$9&amp;","</f>
        <v>tackles: 0,</v>
      </c>
      <c r="D98" t="str">
        <f>"tackles: "&amp;$P$24&amp;","</f>
        <v>tackles: 3,</v>
      </c>
      <c r="E98" t="str">
        <f>"tackles: "&amp;$P$12&amp;","</f>
        <v>tackles: 3,</v>
      </c>
      <c r="F98" t="str">
        <f>"tackles: "&amp;$P$22&amp;","</f>
        <v>tackles: 7,</v>
      </c>
      <c r="G98" t="str">
        <f>"tackles: "&amp;$P$3&amp;","</f>
        <v>tackles: 0,</v>
      </c>
      <c r="H98" t="str">
        <f>"tackles: "&amp;$P$7&amp;","</f>
        <v>tackles: 6,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3,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1,</v>
      </c>
      <c r="Q98" t="str">
        <f>"tackles: "&amp;$P$10&amp;","</f>
        <v>tackles: 3,</v>
      </c>
      <c r="R98" t="str">
        <f>"tackles: "&amp;$P$2&amp;","</f>
        <v>tackles: 2,</v>
      </c>
      <c r="S98" t="str">
        <f>"tackles: "&amp;$P$19&amp;","</f>
        <v>tackles: 1,</v>
      </c>
      <c r="T98" t="str">
        <f>"tackles: "&amp;$P$17&amp;","</f>
        <v>tackles: 2,</v>
      </c>
      <c r="U98" t="str">
        <f>"tackles: "&amp;$P$18&amp;","</f>
        <v>tackles: 0,</v>
      </c>
      <c r="V98" t="str">
        <f>"tackles: "&amp;$P$16&amp;","</f>
        <v>tackles: 2,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4,</v>
      </c>
      <c r="B99" t="str">
        <f>"interceptions: "&amp;$Q$15&amp;","</f>
        <v>interceptions: 6,</v>
      </c>
      <c r="C99" t="str">
        <f>"interceptions: "&amp;$Q$9&amp;","</f>
        <v>interceptions: 0,</v>
      </c>
      <c r="D99" t="str">
        <f>"interceptions: "&amp;$Q$24&amp;","</f>
        <v>interceptions: 10,</v>
      </c>
      <c r="E99" t="str">
        <f>"interceptions: "&amp;$Q$12&amp;","</f>
        <v>interceptions: 0,</v>
      </c>
      <c r="F99" t="str">
        <f>"interceptions: "&amp;$Q$22&amp;","</f>
        <v>interceptions: 3,</v>
      </c>
      <c r="G99" t="str">
        <f>"interceptions: "&amp;$Q$3&amp;","</f>
        <v>interceptions: 0,</v>
      </c>
      <c r="H99" t="str">
        <f>"interceptions: "&amp;$Q$7&amp;","</f>
        <v>interceptions: 4,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4,</v>
      </c>
      <c r="M99" t="str">
        <f>"interceptions: "&amp;$Q$21&amp;","</f>
        <v>interceptions: 5,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1,</v>
      </c>
      <c r="Q99" t="str">
        <f>"interceptions: "&amp;$Q$10&amp;","</f>
        <v>interceptions: 4,</v>
      </c>
      <c r="R99" t="str">
        <f>"interceptions: "&amp;$Q$2&amp;","</f>
        <v>interceptions: 1,</v>
      </c>
      <c r="S99" t="str">
        <f>"interceptions: "&amp;$Q$19&amp;","</f>
        <v>interceptions: 1,</v>
      </c>
      <c r="T99" t="str">
        <f>"interceptions: "&amp;$Q$17&amp;","</f>
        <v>interceptions: 1,</v>
      </c>
      <c r="U99" t="str">
        <f>"interceptions: "&amp;$Q$18&amp;","</f>
        <v>interceptions: 0,</v>
      </c>
      <c r="V99" t="str">
        <f>"interceptions: "&amp;$Q$16&amp;","</f>
        <v>interceptions: 0,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2,</v>
      </c>
      <c r="B100" t="str">
        <f>"fhRegains: "&amp;$R$15&amp;","</f>
        <v>fhRegains: 1,</v>
      </c>
      <c r="C100" t="str">
        <f>"fhRegains: "&amp;$R$9&amp;","</f>
        <v>fhRegains: 0,</v>
      </c>
      <c r="D100" t="str">
        <f>"fhRegains: "&amp;$R$24&amp;","</f>
        <v>fhRegains: 4,</v>
      </c>
      <c r="E100" t="str">
        <f>"fhRegains: "&amp;$R$12&amp;","</f>
        <v>fhRegains: 0,</v>
      </c>
      <c r="F100" t="str">
        <f>"fhRegains: "&amp;$R$22&amp;","</f>
        <v>fhRegains: 1,</v>
      </c>
      <c r="G100" t="str">
        <f>"fhRegains: "&amp;$R$3&amp;","</f>
        <v>fhRegains: 0,</v>
      </c>
      <c r="H100" t="str">
        <f>"fhRegains: "&amp;$R$7&amp;","</f>
        <v>fhRegains: 2,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2,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4,</v>
      </c>
      <c r="R100" t="str">
        <f>"fhRegains: "&amp;$R$2&amp;","</f>
        <v>fhRegains: 0,</v>
      </c>
      <c r="S100" t="str">
        <f>"fhRegains: "&amp;$R$19&amp;","</f>
        <v>fhRegains: 0,</v>
      </c>
      <c r="T100" t="str">
        <f>"fhRegains: "&amp;$R$17&amp;","</f>
        <v>fhRegains: 1,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1,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1,</v>
      </c>
      <c r="G101" t="str">
        <f>"blocks: "&amp;$S$3&amp;","</f>
        <v>blocks: 0,</v>
      </c>
      <c r="H101" t="str">
        <f>"blocks: "&amp;$S$7&amp;","</f>
        <v>blocks: 2,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2,</v>
      </c>
      <c r="M101" t="str">
        <f>"blocks: "&amp;$S$21&amp;","</f>
        <v>blocks: 1,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1,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1,</v>
      </c>
      <c r="C102" t="str">
        <f>"clearances: "&amp;$T$9&amp;","</f>
        <v>clearances: 0,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2,</v>
      </c>
      <c r="G102" t="str">
        <f>"clearances: "&amp;$T$3&amp;","</f>
        <v>clearances: 0,</v>
      </c>
      <c r="H102" t="str">
        <f>"clearances: "&amp;$T$7&amp;","</f>
        <v>clearances: 3,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2,</v>
      </c>
      <c r="M102" t="str">
        <f>"clearances: "&amp;$T$21&amp;","</f>
        <v>clearances: 2,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2,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1,</v>
      </c>
      <c r="C103" t="str">
        <f>"separations: "&amp;$U$9&amp;","</f>
        <v>separations: 0,</v>
      </c>
      <c r="D103" t="str">
        <f>"separations: "&amp;$U$24&amp;","</f>
        <v>separations: 0,</v>
      </c>
      <c r="E103" t="str">
        <f>"separations: "&amp;$U$12&amp;","</f>
        <v>separations: 0,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1,</v>
      </c>
      <c r="M103" t="str">
        <f>"separations: "&amp;$U$21&amp;","</f>
        <v>separations: 1,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1,</v>
      </c>
      <c r="U103" t="str">
        <f>"separations: "&amp;$U$18&amp;","</f>
        <v>separations: 0,</v>
      </c>
      <c r="V103" t="str">
        <f>"separations: "&amp;$U$16&amp;","</f>
        <v>separations: 1,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3,</v>
      </c>
      <c r="B104" t="str">
        <f>"headers: "&amp;$V$15&amp;","</f>
        <v>headers: 6,</v>
      </c>
      <c r="C104" t="str">
        <f>"headers: "&amp;$V$9&amp;","</f>
        <v>headers: 0,</v>
      </c>
      <c r="D104" t="str">
        <f>"headers: "&amp;$V$24&amp;","</f>
        <v>headers: 1,</v>
      </c>
      <c r="E104" t="str">
        <f>"headers: "&amp;$V$12&amp;","</f>
        <v>headers: 0,</v>
      </c>
      <c r="F104" t="str">
        <f>"headers: "&amp;$V$22&amp;","</f>
        <v>headers: 12,</v>
      </c>
      <c r="G104" t="str">
        <f>"headers: "&amp;$V$3&amp;","</f>
        <v>headers: 0,</v>
      </c>
      <c r="H104" t="str">
        <f>"headers: "&amp;$V$7&amp;","</f>
        <v>headers: 7,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0,</v>
      </c>
      <c r="M104" t="str">
        <f>"headers: "&amp;$V$21&amp;","</f>
        <v>headers: 5,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0,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0,</v>
      </c>
      <c r="B105" t="str">
        <f>"stopForwardCA: "&amp;$W$15&amp;","</f>
        <v>stopForwardCA: 5,</v>
      </c>
      <c r="C105" t="str">
        <f>"stopForwardCA: "&amp;$W$9&amp;","</f>
        <v>stopForwardCA: 0,</v>
      </c>
      <c r="D105" t="str">
        <f>"stopForwardCA: "&amp;$W$24&amp;","</f>
        <v>stopForwardCA: 4,</v>
      </c>
      <c r="E105" t="str">
        <f>"stopForwardCA: "&amp;$W$12&amp;","</f>
        <v>stopForwardCA: 0,</v>
      </c>
      <c r="F105" t="str">
        <f>"stopForwardCA: "&amp;$W$22&amp;","</f>
        <v>stopForwardCA: 1,</v>
      </c>
      <c r="G105" t="str">
        <f>"stopForwardCA: "&amp;$W$3&amp;","</f>
        <v>stopForwardCA: 0,</v>
      </c>
      <c r="H105" t="str">
        <f>"stopForwardCA: "&amp;$W$7&amp;","</f>
        <v>stopForwardCA: 4,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4,</v>
      </c>
      <c r="M105" t="str">
        <f>"stopForwardCA: "&amp;$W$21&amp;","</f>
        <v>stopForwardCA: 4,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0,</v>
      </c>
      <c r="Q105" t="str">
        <f>"stopForwardCA: "&amp;$W$10&amp;","</f>
        <v>stopForwardCA: 1,</v>
      </c>
      <c r="R105" t="str">
        <f>"stopForwardCA: "&amp;$W$2&amp;","</f>
        <v>stopForwardCA: 2,</v>
      </c>
      <c r="S105" t="str">
        <f>"stopForwardCA: "&amp;$W$19&amp;","</f>
        <v>stopForwardCA: 2,</v>
      </c>
      <c r="T105" t="str">
        <f>"stopForwardCA: "&amp;$W$17&amp;","</f>
        <v>stopForwardCA: 4,</v>
      </c>
      <c r="U105" t="str">
        <f>"stopForwardCA: "&amp;$W$18&amp;","</f>
        <v>stopForwardCA: 0,</v>
      </c>
      <c r="V105" t="str">
        <f>"stopForwardCA: "&amp;$W$16&amp;","</f>
        <v>stopForwardCA: 2,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77,</v>
      </c>
      <c r="B109" t="str">
        <f>"minutes: "&amp;B$15&amp;","</f>
        <v>minutes: 90,</v>
      </c>
      <c r="C109" t="str">
        <f>"minutes: "&amp;B$9&amp;","</f>
        <v>minutes: 0,</v>
      </c>
      <c r="D109" t="str">
        <f>"minutes: "&amp;B$24&amp;","</f>
        <v>minutes: 86,</v>
      </c>
      <c r="E109" t="str">
        <f>"minutes: "&amp;B$12&amp;","</f>
        <v>minutes: 22,</v>
      </c>
      <c r="F109" t="str">
        <f>"minutes: "&amp;B$22&amp;","</f>
        <v>minutes: 90,</v>
      </c>
      <c r="G109" t="str">
        <f>"minutes: "&amp;B$3&amp;","</f>
        <v>minutes: 0,</v>
      </c>
      <c r="H109" t="str">
        <f>"minutes: "&amp;B$7&amp;","</f>
        <v>minutes: 90,</v>
      </c>
      <c r="I109" t="str">
        <f>"minutes: "&amp;B$8&amp;","</f>
        <v>minutes: 12,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68,</v>
      </c>
      <c r="M109" t="str">
        <f>"minutes: "&amp;B$21&amp;","</f>
        <v>minutes: 82,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7,</v>
      </c>
      <c r="Q109" t="str">
        <f>"minutes: "&amp;B$10&amp;","</f>
        <v>minutes: 90,</v>
      </c>
      <c r="R109" t="str">
        <f>"minutes: "&amp;B$2&amp;","</f>
        <v>minutes: 12,</v>
      </c>
      <c r="S109" t="str">
        <f>"minutes: "&amp;B$19&amp;","</f>
        <v>minutes: 70,</v>
      </c>
      <c r="T109" t="str">
        <f>"minutes: "&amp;B$17&amp;","</f>
        <v>minutes: 70,</v>
      </c>
      <c r="U109" t="str">
        <f>"minutes: "&amp;B$18&amp;","</f>
        <v>minutes: 0,</v>
      </c>
      <c r="V109" t="str">
        <f>"minutes: "&amp;B$16&amp;","</f>
        <v>minutes: 28,</v>
      </c>
      <c r="W109" t="str">
        <f>"minutes: "&amp;B$6&amp;","</f>
        <v>minutes: 7,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1,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1,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2,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4,</v>
      </c>
      <c r="B113" t="str">
        <f>"startCA: "&amp;$F$15&amp;","</f>
        <v>startCA: 2,</v>
      </c>
      <c r="C113" t="str">
        <f>"startCA: "&amp;$F$9&amp;","</f>
        <v>startCA: 0,</v>
      </c>
      <c r="D113" t="str">
        <f>"startCA: "&amp;$F$24&amp;","</f>
        <v>startCA: 9,</v>
      </c>
      <c r="E113" t="str">
        <f>"startCA: "&amp;$F$12&amp;","</f>
        <v>startCA: 2,</v>
      </c>
      <c r="F113" t="str">
        <f>"startCA: "&amp;$F$22&amp;","</f>
        <v>startCA: 0,</v>
      </c>
      <c r="G113" t="str">
        <f>"startCA: "&amp;$F$3&amp;","</f>
        <v>startCA: 0,</v>
      </c>
      <c r="H113" t="str">
        <f>"startCA: "&amp;$F$7&amp;","</f>
        <v>startCA: 5,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1,</v>
      </c>
      <c r="M113" t="str">
        <f>"startCA: "&amp;$F$21&amp;","</f>
        <v>startCA: 2,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1,</v>
      </c>
      <c r="Q113" t="str">
        <f>"startCA: "&amp;$F$10&amp;","</f>
        <v>startCA: 2,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0,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1,</v>
      </c>
      <c r="E115" t="str">
        <f>"effCrosses: "&amp;$H$12&amp;","</f>
        <v>effCrosses: 1,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1,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0,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0,</v>
      </c>
      <c r="C116" t="str">
        <f>"oneVones: "&amp;$I$9&amp;","</f>
        <v>oneVones: 0,</v>
      </c>
      <c r="D116" t="str">
        <f>"oneVones: "&amp;$I$24&amp;","</f>
        <v>oneVones: 2,</v>
      </c>
      <c r="E116" t="str">
        <f>"oneVones: "&amp;$I$12&amp;","</f>
        <v>oneVones: 2,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1,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2,</v>
      </c>
      <c r="M116" t="str">
        <f>"oneVones: "&amp;$I$21&amp;","</f>
        <v>oneVones: 3,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1,</v>
      </c>
      <c r="Q116" t="str">
        <f>"oneVones: "&amp;$I$10&amp;","</f>
        <v>oneVones: 0,</v>
      </c>
      <c r="R116" t="str">
        <f>"oneVones: "&amp;$I$2&amp;","</f>
        <v>oneVones: 1,</v>
      </c>
      <c r="S116" t="str">
        <f>"oneVones: "&amp;$I$19&amp;","</f>
        <v>oneVones: 1,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1,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3,</v>
      </c>
      <c r="B117" t="str">
        <f>"attHeaders: "&amp;$J$15&amp;","</f>
        <v>attHeaders: 1,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1,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1,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0,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2,</v>
      </c>
      <c r="T117" t="str">
        <f>"attHeaders: "&amp;$J$17&amp;","</f>
        <v>attHeaders: 1,</v>
      </c>
      <c r="U117" t="str">
        <f>"attHeaders: "&amp;$J$18&amp;","</f>
        <v>attHeaders: 0,</v>
      </c>
      <c r="V117" t="str">
        <f>"attHeaders: "&amp;$J$16&amp;","</f>
        <v>attHeaders: 0,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4,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1,</v>
      </c>
      <c r="E118" t="str">
        <f>"spEarned: "&amp;$K$12&amp;","</f>
        <v>spEarned: 1,</v>
      </c>
      <c r="F118" t="str">
        <f>"spEarned: "&amp;$K$22&amp;","</f>
        <v>spEarned: 1,</v>
      </c>
      <c r="G118" t="str">
        <f>"spEarned: "&amp;$K$3&amp;","</f>
        <v>spEarned: 0,</v>
      </c>
      <c r="H118" t="str">
        <f>"spEarned: "&amp;$K$7&amp;","</f>
        <v>spEarned: 1,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1,</v>
      </c>
      <c r="M118" t="str">
        <f>"spEarned: "&amp;$K$21&amp;","</f>
        <v>spEarned: 1,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4,</v>
      </c>
      <c r="R118" t="str">
        <f>"spEarned: "&amp;$K$2&amp;","</f>
        <v>spEarned: 0,</v>
      </c>
      <c r="S118" t="str">
        <f>"spEarned: "&amp;$K$19&amp;","</f>
        <v>spEarned: 2,</v>
      </c>
      <c r="T118" t="str">
        <f>"spEarned: "&amp;$K$17&amp;","</f>
        <v>spEarned: 0,</v>
      </c>
      <c r="U118" t="str">
        <f>"spEarned: "&amp;$K$18&amp;","</f>
        <v>spEarned: 0,</v>
      </c>
      <c r="V118" t="str">
        <f>"spEarned: "&amp;$K$16&amp;","</f>
        <v>spEarned: 2,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1,</v>
      </c>
      <c r="B119" t="str">
        <f>"offTargetShots: "&amp;$L$15&amp;","</f>
        <v>offTargetShots: 1,</v>
      </c>
      <c r="C119" t="str">
        <f>"offTargetShots: "&amp;$L$9&amp;","</f>
        <v>offTargetShots: 0,</v>
      </c>
      <c r="D119" t="str">
        <f>"offTargetShots: "&amp;$L$24&amp;","</f>
        <v>offTargetShots: 0,</v>
      </c>
      <c r="E119" t="str">
        <f>"offTargetShots: "&amp;$L$12&amp;","</f>
        <v>offTargetShots: 0,</v>
      </c>
      <c r="F119" t="str">
        <f>"offTargetShots: "&amp;$L$22&amp;","</f>
        <v>offTargetShots: 1,</v>
      </c>
      <c r="G119" t="str">
        <f>"offTargetShots: "&amp;$L$3&amp;","</f>
        <v>offTargetShots: 0,</v>
      </c>
      <c r="H119" t="str">
        <f>"offTargetShots: "&amp;$L$7&amp;","</f>
        <v>offTargetShots: 0,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2,</v>
      </c>
      <c r="R119" t="str">
        <f>"offTargetShots: "&amp;$L$2&amp;","</f>
        <v>offTargetShots: 0,</v>
      </c>
      <c r="S119" t="str">
        <f>"offTargetShots: "&amp;$L$19&amp;","</f>
        <v>offTargetShots: 1,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1,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2,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0.17,</v>
      </c>
      <c r="B121" t="str">
        <f>"totalOffActMin: "&amp;TEXT($O$15,"0.00")&amp;","</f>
        <v>totalOffActMin: 0.04,</v>
      </c>
      <c r="C121" t="str">
        <f>"totalOffActMin: "&amp;TEXT($O$9,"0.00")&amp;","</f>
        <v>totalOffActMin: 0.00,</v>
      </c>
      <c r="D121" t="str">
        <f>"totalOffActMin: "&amp;TEXT($O$24,"0.00")&amp;","</f>
        <v>totalOffActMin: 0.15,</v>
      </c>
      <c r="E121" t="str">
        <f>"totalOffActMin: "&amp;TEXT($O$12,"0.00")&amp;","</f>
        <v>totalOffActMin: 0.27,</v>
      </c>
      <c r="F121" t="str">
        <f>"totalOffActMin: "&amp;TEXT($O$22,"0.00")&amp;","</f>
        <v>totalOffActMin: 0.03,</v>
      </c>
      <c r="G121" t="str">
        <f>"totalOffActMin: "&amp;TEXT($O$3,"0.00")&amp;","</f>
        <v>totalOffActMin: 0.00,</v>
      </c>
      <c r="H121" t="str">
        <f>"totalOffActMin: "&amp;TEXT($O$7,"0.00")&amp;","</f>
        <v>totalOffActMin: 0.08,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0.07,</v>
      </c>
      <c r="M121" t="str">
        <f>"totalOffActMin: "&amp;TEXT($O$21,"0.00")&amp;","</f>
        <v>totalOffActMin: 0.09,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0.29,</v>
      </c>
      <c r="Q121" t="str">
        <f>"totalOffActMin: "&amp;TEXT($O$10,"0.00")&amp;","</f>
        <v>totalOffActMin: 0.13,</v>
      </c>
      <c r="R121" t="str">
        <f>"totalOffActMin: "&amp;TEXT($O$2,"0.00")&amp;","</f>
        <v>totalOffActMin: 0.08,</v>
      </c>
      <c r="S121" t="str">
        <f>"totalOffActMin: "&amp;TEXT($O$19,"0.00")&amp;","</f>
        <v>totalOffActMin: 0.14,</v>
      </c>
      <c r="T121" t="str">
        <f>"totalOffActMin: "&amp;TEXT($O$17,"0.00")&amp;","</f>
        <v>totalOffActMin: 0.06,</v>
      </c>
      <c r="U121" t="str">
        <f>"totalOffActMin: "&amp;TEXT($O$18,"0.00")&amp;","</f>
        <v>totalOffActMin: 0.00,</v>
      </c>
      <c r="V121" t="str">
        <f>"totalOffActMin: "&amp;TEXT($O$16,"0.00")&amp;","</f>
        <v>totalOffActMin: 0.11,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3,</v>
      </c>
      <c r="B122" t="str">
        <f>"tackles: "&amp;$P$15&amp;","</f>
        <v>tackles: 1,</v>
      </c>
      <c r="C122" t="str">
        <f>"tackles: "&amp;$P$9&amp;","</f>
        <v>tackles: 0,</v>
      </c>
      <c r="D122" t="str">
        <f>"tackles: "&amp;$P$24&amp;","</f>
        <v>tackles: 3,</v>
      </c>
      <c r="E122" t="str">
        <f>"tackles: "&amp;$P$12&amp;","</f>
        <v>tackles: 3,</v>
      </c>
      <c r="F122" t="str">
        <f>"tackles: "&amp;$P$22&amp;","</f>
        <v>tackles: 7,</v>
      </c>
      <c r="G122" t="str">
        <f>"tackles: "&amp;$P$3&amp;","</f>
        <v>tackles: 0,</v>
      </c>
      <c r="H122" t="str">
        <f>"tackles: "&amp;$P$7&amp;","</f>
        <v>tackles: 6,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3,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1,</v>
      </c>
      <c r="Q122" t="str">
        <f>"tackles: "&amp;$P$10&amp;","</f>
        <v>tackles: 3,</v>
      </c>
      <c r="R122" t="str">
        <f>"tackles: "&amp;$P$2&amp;","</f>
        <v>tackles: 2,</v>
      </c>
      <c r="S122" t="str">
        <f>"tackles: "&amp;$P$19&amp;","</f>
        <v>tackles: 1,</v>
      </c>
      <c r="T122" t="str">
        <f>"tackles: "&amp;$P$17&amp;","</f>
        <v>tackles: 2,</v>
      </c>
      <c r="U122" t="str">
        <f>"tackles: "&amp;$P$18&amp;","</f>
        <v>tackles: 0,</v>
      </c>
      <c r="V122" t="str">
        <f>"tackles: "&amp;$P$16&amp;","</f>
        <v>tackles: 2,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4,</v>
      </c>
      <c r="B123" t="str">
        <f>"interceptions: "&amp;$Q$15&amp;","</f>
        <v>interceptions: 6,</v>
      </c>
      <c r="C123" t="str">
        <f>"interceptions: "&amp;$Q$9&amp;","</f>
        <v>interceptions: 0,</v>
      </c>
      <c r="D123" t="str">
        <f>"interceptions: "&amp;$Q$24&amp;","</f>
        <v>interceptions: 10,</v>
      </c>
      <c r="E123" t="str">
        <f>"interceptions: "&amp;$Q$12&amp;","</f>
        <v>interceptions: 0,</v>
      </c>
      <c r="F123" t="str">
        <f>"interceptions: "&amp;$Q$22&amp;","</f>
        <v>interceptions: 3,</v>
      </c>
      <c r="G123" t="str">
        <f>"interceptions: "&amp;$Q$3&amp;","</f>
        <v>interceptions: 0,</v>
      </c>
      <c r="H123" t="str">
        <f>"interceptions: "&amp;$Q$7&amp;","</f>
        <v>interceptions: 4,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4,</v>
      </c>
      <c r="M123" t="str">
        <f>"interceptions: "&amp;$Q$21&amp;","</f>
        <v>interceptions: 5,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1,</v>
      </c>
      <c r="Q123" t="str">
        <f>"interceptions: "&amp;$Q$10&amp;","</f>
        <v>interceptions: 4,</v>
      </c>
      <c r="R123" t="str">
        <f>"interceptions: "&amp;$Q$2&amp;","</f>
        <v>interceptions: 1,</v>
      </c>
      <c r="S123" t="str">
        <f>"interceptions: "&amp;$Q$19&amp;","</f>
        <v>interceptions: 1,</v>
      </c>
      <c r="T123" t="str">
        <f>"interceptions: "&amp;$Q$17&amp;","</f>
        <v>interceptions: 1,</v>
      </c>
      <c r="U123" t="str">
        <f>"interceptions: "&amp;$Q$18&amp;","</f>
        <v>interceptions: 0,</v>
      </c>
      <c r="V123" t="str">
        <f>"interceptions: "&amp;$Q$16&amp;","</f>
        <v>interceptions: 0,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2,</v>
      </c>
      <c r="B124" t="str">
        <f>"fhRegains: "&amp;$R$15&amp;","</f>
        <v>fhRegains: 1,</v>
      </c>
      <c r="C124" t="str">
        <f>"fhRegains: "&amp;$R$9&amp;","</f>
        <v>fhRegains: 0,</v>
      </c>
      <c r="D124" t="str">
        <f>"fhRegains: "&amp;$R$24&amp;","</f>
        <v>fhRegains: 4,</v>
      </c>
      <c r="E124" t="str">
        <f>"fhRegains: "&amp;$R$12&amp;","</f>
        <v>fhRegains: 0,</v>
      </c>
      <c r="F124" t="str">
        <f>"fhRegains: "&amp;$R$22&amp;","</f>
        <v>fhRegains: 1,</v>
      </c>
      <c r="G124" t="str">
        <f>"fhRegains: "&amp;$R$3&amp;","</f>
        <v>fhRegains: 0,</v>
      </c>
      <c r="H124" t="str">
        <f>"fhRegains: "&amp;$R$7&amp;","</f>
        <v>fhRegains: 2,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2,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4,</v>
      </c>
      <c r="R124" t="str">
        <f>"fhRegains: "&amp;$R$2&amp;","</f>
        <v>fhRegains: 0,</v>
      </c>
      <c r="S124" t="str">
        <f>"fhRegains: "&amp;$R$19&amp;","</f>
        <v>fhRegains: 0,</v>
      </c>
      <c r="T124" t="str">
        <f>"fhRegains: "&amp;$R$17&amp;","</f>
        <v>fhRegains: 1,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1,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1,</v>
      </c>
      <c r="G125" t="str">
        <f>"blocks: "&amp;$S$3&amp;","</f>
        <v>blocks: 0,</v>
      </c>
      <c r="H125" t="str">
        <f>"blocks: "&amp;$S$7&amp;","</f>
        <v>blocks: 2,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2,</v>
      </c>
      <c r="M125" t="str">
        <f>"blocks: "&amp;$S$21&amp;","</f>
        <v>blocks: 1,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1,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1,</v>
      </c>
      <c r="C126" t="str">
        <f>"clearances: "&amp;$T$9&amp;","</f>
        <v>clearances: 0,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2,</v>
      </c>
      <c r="G126" t="str">
        <f>"clearances: "&amp;$T$3&amp;","</f>
        <v>clearances: 0,</v>
      </c>
      <c r="H126" t="str">
        <f>"clearances: "&amp;$T$7&amp;","</f>
        <v>clearances: 3,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2,</v>
      </c>
      <c r="M126" t="str">
        <f>"clearances: "&amp;$T$21&amp;","</f>
        <v>clearances: 2,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2,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1,</v>
      </c>
      <c r="C127" t="str">
        <f>"separations: "&amp;$U$9&amp;","</f>
        <v>separations: 0,</v>
      </c>
      <c r="D127" t="str">
        <f>"separations: "&amp;$U$24&amp;","</f>
        <v>separations: 0,</v>
      </c>
      <c r="E127" t="str">
        <f>"separations: "&amp;$U$12&amp;","</f>
        <v>separations: 0,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1,</v>
      </c>
      <c r="M127" t="str">
        <f>"separations: "&amp;$U$21&amp;","</f>
        <v>separations: 1,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1,</v>
      </c>
      <c r="U127" t="str">
        <f>"separations: "&amp;$U$18&amp;","</f>
        <v>separations: 0,</v>
      </c>
      <c r="V127" t="str">
        <f>"separations: "&amp;$U$16&amp;","</f>
        <v>separations: 1,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3,</v>
      </c>
      <c r="B128" t="str">
        <f>"headers: "&amp;$V$15&amp;","</f>
        <v>headers: 6,</v>
      </c>
      <c r="C128" t="str">
        <f>"headers: "&amp;$V$9&amp;","</f>
        <v>headers: 0,</v>
      </c>
      <c r="D128" t="str">
        <f>"headers: "&amp;$V$24&amp;","</f>
        <v>headers: 1,</v>
      </c>
      <c r="E128" t="str">
        <f>"headers: "&amp;$V$12&amp;","</f>
        <v>headers: 0,</v>
      </c>
      <c r="F128" t="str">
        <f>"headers: "&amp;$V$22&amp;","</f>
        <v>headers: 12,</v>
      </c>
      <c r="G128" t="str">
        <f>"headers: "&amp;$V$3&amp;","</f>
        <v>headers: 0,</v>
      </c>
      <c r="H128" t="str">
        <f>"headers: "&amp;$V$7&amp;","</f>
        <v>headers: 7,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0,</v>
      </c>
      <c r="M128" t="str">
        <f>"headers: "&amp;$V$21&amp;","</f>
        <v>headers: 5,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0,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0,</v>
      </c>
      <c r="B129" t="str">
        <f>"stopFwdCA: "&amp;$W$15&amp;","</f>
        <v>stopFwdCA: 5,</v>
      </c>
      <c r="C129" t="str">
        <f>"stopFwdCA: "&amp;$W$9&amp;","</f>
        <v>stopFwdCA: 0,</v>
      </c>
      <c r="D129" t="str">
        <f>"stopFwdCA: "&amp;$W$24&amp;","</f>
        <v>stopFwdCA: 4,</v>
      </c>
      <c r="E129" t="str">
        <f>"stopFwdCA: "&amp;$W$12&amp;","</f>
        <v>stopFwdCA: 0,</v>
      </c>
      <c r="F129" t="str">
        <f>"stopFwdCA: "&amp;$W$22&amp;","</f>
        <v>stopFwdCA: 1,</v>
      </c>
      <c r="G129" t="str">
        <f>"stopFwdCA: "&amp;$W$3&amp;","</f>
        <v>stopFwdCA: 0,</v>
      </c>
      <c r="H129" t="str">
        <f>"stopFwdCA: "&amp;$W$7&amp;","</f>
        <v>stopFwdCA: 4,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4,</v>
      </c>
      <c r="M129" t="str">
        <f>"stopFwdCA: "&amp;$W$21&amp;","</f>
        <v>stopFwdCA: 4,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0,</v>
      </c>
      <c r="Q129" t="str">
        <f>"stopFwdCA: "&amp;$W$10&amp;","</f>
        <v>stopFwdCA: 1,</v>
      </c>
      <c r="R129" t="str">
        <f>"stopFwdCA: "&amp;$W$2&amp;","</f>
        <v>stopFwdCA: 2,</v>
      </c>
      <c r="S129" t="str">
        <f>"stopFwdCA: "&amp;$W$19&amp;","</f>
        <v>stopFwdCA: 2,</v>
      </c>
      <c r="T129" t="str">
        <f>"stopFwdCA: "&amp;$W$17&amp;","</f>
        <v>stopFwdCA: 4,</v>
      </c>
      <c r="U129" t="str">
        <f>"stopFwdCA: "&amp;$W$18&amp;","</f>
        <v>stopFwdCA: 0,</v>
      </c>
      <c r="V129" t="str">
        <f>"stopFwdCA: "&amp;$W$16&amp;","</f>
        <v>stopFwdCA: 2,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0.16,</v>
      </c>
      <c r="B130" t="str">
        <f>"totalDefActMin: "&amp;TEXT($Y$15,"0.00")&amp;","</f>
        <v>totalDefActMin: 0.23,</v>
      </c>
      <c r="C130" t="str">
        <f>"totalDefActMin: "&amp;TEXT($Y$9,"0.00")&amp;","</f>
        <v>totalDefActMin: 0.00,</v>
      </c>
      <c r="D130" t="str">
        <f>"totalDefActMin: "&amp;TEXT($Y$24,"0.00")&amp;","</f>
        <v>totalDefActMin: 0.26,</v>
      </c>
      <c r="E130" t="str">
        <f>"totalDefActMin: "&amp;TEXT($Y$12,"0.00")&amp;","</f>
        <v>totalDefActMin: 0.14,</v>
      </c>
      <c r="F130" t="str">
        <f>"totalDefActMin: "&amp;TEXT($Y$22,"0.00")&amp;","</f>
        <v>totalDefActMin: 0.30,</v>
      </c>
      <c r="G130" t="str">
        <f>"totalDefActMin: "&amp;TEXT($Y$3,"0.00")&amp;","</f>
        <v>totalDefActMin: 0.00,</v>
      </c>
      <c r="H130" t="str">
        <f>"totalDefActMin: "&amp;TEXT($Y$7,"0.00")&amp;","</f>
        <v>totalDefActMin: 0.31,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0.21,</v>
      </c>
      <c r="M130" t="str">
        <f>"totalDefActMin: "&amp;TEXT($Y$21,"0.00")&amp;","</f>
        <v>totalDefActMin: 0.28,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0.29,</v>
      </c>
      <c r="Q130" t="str">
        <f>"totalDefActMin: "&amp;TEXT($Y$10,"0.00")&amp;","</f>
        <v>totalDefActMin: 0.13,</v>
      </c>
      <c r="R130" t="str">
        <f>"totalDefActMin: "&amp;TEXT($Y$2,"0.00")&amp;","</f>
        <v>totalDefActMin: 0.42,</v>
      </c>
      <c r="S130" t="str">
        <f>"totalDefActMin: "&amp;TEXT($Y$19,"0.00")&amp;","</f>
        <v>totalDefActMin: 0.06,</v>
      </c>
      <c r="T130" t="str">
        <f>"totalDefActMin: "&amp;TEXT($Y$17,"0.00")&amp;","</f>
        <v>totalDefActMin: 0.16,</v>
      </c>
      <c r="U130" t="str">
        <f>"totalDefActMin: "&amp;TEXT($Y$18,"0.00")&amp;","</f>
        <v>totalDefActMin: 0.00,</v>
      </c>
      <c r="V130" t="str">
        <f>"totalDefActMin: "&amp;TEXT($Y$16,"0.00")&amp;","</f>
        <v>totalDefActMin: 0.18,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25,</v>
      </c>
      <c r="B131" t="str">
        <f t="shared" ref="B131" si="4">"totalActions: "&amp;$Z$4&amp;","</f>
        <v>totalActions: 25,</v>
      </c>
      <c r="C131" t="str">
        <f>"totalActions: "&amp;$Z$9&amp;","</f>
        <v>totalActions: 0,</v>
      </c>
      <c r="D131" t="str">
        <f>"totalActions: "&amp;$Z$24&amp;","</f>
        <v>totalActions: 35,</v>
      </c>
      <c r="E131" t="str">
        <f>"totalActions: "&amp;$Z$12&amp;","</f>
        <v>totalActions: 9,</v>
      </c>
      <c r="F131" t="str">
        <f>"totalActions: "&amp;$Z$22&amp;","</f>
        <v>totalActions: 30,</v>
      </c>
      <c r="G131" t="str">
        <f>"totalActions: "&amp;$Z$3&amp;","</f>
        <v>totalActions: 0,</v>
      </c>
      <c r="H131" t="str">
        <f>"totalActions: "&amp;$Z$7&amp;","</f>
        <v>totalActions: 35,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19,</v>
      </c>
      <c r="M131" t="str">
        <f>"totalActions: "&amp;$Z$21&amp;","</f>
        <v>totalActions: 30,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4,</v>
      </c>
      <c r="Q131" t="str">
        <f>"totalActions: "&amp;$Z$10&amp;","</f>
        <v>totalActions: 24,</v>
      </c>
      <c r="R131" t="str">
        <f>"totalActions: "&amp;$Z$2&amp;","</f>
        <v>totalActions: 6,</v>
      </c>
      <c r="S131" t="str">
        <f>"totalActions: "&amp;$Z$19&amp;","</f>
        <v>totalActions: 14,</v>
      </c>
      <c r="T131" t="str">
        <f>"totalActions: "&amp;$Z$17&amp;","</f>
        <v>totalActions: 15,</v>
      </c>
      <c r="U131" t="str">
        <f>"totalActions: "&amp;$Z$18&amp;","</f>
        <v>totalActions: 0,</v>
      </c>
      <c r="V131" t="str">
        <f>"totalActions: "&amp;$Z$16&amp;","</f>
        <v>totalActions: 8,</v>
      </c>
      <c r="W131" t="str">
        <f>"totalActions: "&amp;$Z$6&amp;","</f>
        <v>totalActions: 0,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class="stat-value-2"&gt;13&lt;/span&gt;&lt;/p&gt;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class="stat-value-2"&gt;4&lt;/span&gt;&lt;/p&gt;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class="stat-value-2"&gt;13&lt;/span&gt;&lt;/p&gt;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class="stat-value-2"&gt;6&lt;/span&gt;&lt;/p&gt;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class="stat-value-2"&gt;3&lt;/span&gt;&lt;/p&gt;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class="stat-value-2"&gt;7&lt;/span&gt;&lt;/p&gt;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class="stat-value-2"&gt;5&lt;/span&gt;&lt;/p&gt;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class="stat-value-2"&gt;7&lt;/span&gt;&lt;/p&gt;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class="stat-value-2"&gt;2&lt;/span&gt;&lt;/p&gt;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class="stat-value-2"&gt;12&lt;/span&gt;&lt;/p&gt;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class="stat-value-2"&gt;1&lt;/span&gt;&lt;/p&gt;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class="stat-value-2"&gt;10&lt;/span&gt;&lt;/p&gt;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class="stat-value-2"&gt;4&lt;/span&gt;&lt;/p&gt;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class="stat-value-2"&gt;3&lt;/span&gt;&lt;/p&gt;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class="stat-value-2"&gt;0.17&lt;/span&gt;&lt;/p&gt;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class="stat-value-2"&gt;0.04&lt;/span&gt;&lt;/p&gt;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class="stat-value-2"&gt;0.15&lt;/span&gt;&lt;/p&gt;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class="stat-value-2"&gt;0.27&lt;/span&gt;&lt;/p&gt;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class="stat-value-2"&gt;0.03&lt;/span&gt;&lt;/p&gt;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class="stat-value-2"&gt;0.08&lt;/span&gt;&lt;/p&gt;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class="stat-value-2"&gt;0.07&lt;/span&gt;&lt;/p&gt;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class="stat-value-2"&gt;0.09&lt;/span&gt;&lt;/p&gt;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class="stat-value-2"&gt;0.29&lt;/span&gt;&lt;/p&gt;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class="stat-value-2"&gt;0.13&lt;/span&gt;&lt;/p&gt;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class="stat-value-2"&gt;0.08&lt;/span&gt;&lt;/p&gt;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class="stat-value-2"&gt;0.14&lt;/span&gt;&lt;/p&gt;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class="stat-value-2"&gt;0.06&lt;/span&gt;&lt;/p&gt;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class="stat-value-2"&gt;0.11&lt;/span&gt;&lt;/p&gt;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class="stat-value-2"&gt;1&lt;/span&gt;&lt;/p&gt;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class="stat-value-2"&gt;1&lt;/span&gt;&lt;/p&gt;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class="stat-value-2"&gt;2&lt;/span&gt;&lt;/p&gt;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class="stat-value-2"&gt;4&lt;/span&gt;&lt;/p&gt;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class="stat-value-2"&gt;2&lt;/span&gt;&lt;/p&gt;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class="stat-value-2"&gt;9&lt;/span&gt;&lt;/p&gt;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class="stat-value-2"&gt;2&lt;/span&gt;&lt;/p&gt;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class="stat-value-2"&gt;0&lt;/span&gt;&lt;/p&gt;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class="stat-value-2"&gt;5&lt;/span&gt;&lt;/p&gt;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class="stat-value-2"&gt;1&lt;/span&gt;&lt;/p&gt;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class="stat-value-2"&gt;2&lt;/span&gt;&lt;/p&gt;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class="stat-value-2"&gt;1&lt;/span&gt;&lt;/p&gt;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class="stat-value-2"&gt;2&lt;/span&gt;&lt;/p&gt;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class="stat-value-2"&gt;0&lt;/span&gt;&lt;/p&gt;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class="stat-value-2"&gt;1&lt;/span&gt;&lt;/p&gt;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class="stat-value-2"&gt;1&lt;/span&gt;&lt;/p&gt;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class="stat-value-2"&gt;1&lt;/span&gt;&lt;/p&gt;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class="stat-value-2"&gt;0&lt;/span&gt;&lt;/p&gt;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class="stat-value-2"&gt;2&lt;/span&gt;&lt;/p&gt;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class="stat-value-2"&gt;2&lt;/span&gt;&lt;/p&gt;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class="stat-value-2"&gt;1&lt;/span&gt;&lt;/p&gt;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class="stat-value-2"&gt;2&lt;/span&gt;&lt;/p&gt;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class="stat-value-2"&gt;3&lt;/span&gt;&lt;/p&gt;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class="stat-value-2"&gt;1&lt;/span&gt;&lt;/p&gt;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class="stat-value-2"&gt;0&lt;/span&gt;&lt;/p&gt;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class="stat-value-2"&gt;1&lt;/span&gt;&lt;/p&gt;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class="stat-value-2"&gt;1&lt;/span&gt;&lt;/p&gt;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class="stat-value-2"&gt;1&lt;/span&gt;&lt;/p&gt;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class="stat-value-2"&gt;3&lt;/span&gt;&lt;/p&gt;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class="stat-value-2"&gt;1&lt;/span&gt;&lt;/p&gt;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class="stat-value-2"&gt;1&lt;/span&gt;&lt;/p&gt;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class="stat-value-2"&gt;1&lt;/span&gt;&lt;/p&gt;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class="stat-value-2"&gt;0&lt;/span&gt;&lt;/p&gt;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class="stat-value-2"&gt;2&lt;/span&gt;&lt;/p&gt;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class="stat-value-2"&gt;1&lt;/span&gt;&lt;/p&gt;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class="stat-value-2"&gt;0&lt;/span&gt;&lt;/p&gt;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class="stat-value-2"&gt;4&lt;/span&gt;&lt;/p&gt;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class="stat-value-2"&gt;1&lt;/span&gt;&lt;/p&gt;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class="stat-value-2"&gt;1&lt;/span&gt;&lt;/p&gt;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class="stat-value-2"&gt;1&lt;/span&gt;&lt;/p&gt;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class="stat-value-2"&gt;1&lt;/span&gt;&lt;/p&gt;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class="stat-value-2"&gt;1&lt;/span&gt;&lt;/p&gt;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class="stat-value-2"&gt;4&lt;/span&gt;&lt;/p&gt;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class="stat-value-2"&gt;2&lt;/span&gt;&lt;/p&gt;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class="stat-value-2"&gt;0&lt;/span&gt;&lt;/p&gt;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class="stat-value-2"&gt;2&lt;/span&gt;&lt;/p&gt;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class="stat-value-2"&gt;1&lt;/span&gt;&lt;/p&gt;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class="stat-value-2"&gt;2&lt;/span&gt;&lt;/p&gt;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class="stat-value-2"&gt;1&lt;/span&gt;&lt;/p&gt;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class="stat-value-2"&gt;1&lt;/span&gt;&lt;/p&gt;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class="stat-value-2"&gt;0&lt;/span&gt;&lt;/p&gt;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class="stat-value-2"&gt;1&lt;/span&gt;&lt;/p&gt;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class="stat-value-2"&gt;0&lt;/span&gt;&lt;/p&gt;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class="stat-value-2"&gt;2&lt;/span&gt;&lt;/p&gt;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class="stat-value-2"&gt;1&lt;/span&gt;&lt;/p&gt;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class="stat-value-2"&gt;12&lt;/span&gt;&lt;/p&gt;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class="stat-value-2"&gt;21&lt;/span&gt;&lt;/p&gt;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class="stat-value-2"&gt;22&lt;/span&gt;&lt;/p&gt;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class="stat-value-2"&gt;3&lt;/span&gt;&lt;/p&gt;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class="stat-value-2"&gt;27&lt;/span&gt;&lt;/p&gt;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class="stat-value-2"&gt;0&lt;/span&gt;&lt;/p&gt;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class="stat-value-2"&gt;28&lt;/span&gt;&lt;/p&gt;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class="stat-value-2"&gt;14&lt;/span&gt;&lt;/p&gt;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class="stat-value-2"&gt;23&lt;/span&gt;&lt;/p&gt;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class="stat-value-2"&gt;2&lt;/span&gt;&lt;/p&gt;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class="stat-value-2"&gt;12&lt;/span&gt;&lt;/p&gt;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class="stat-value-2"&gt;5&lt;/span&gt;&lt;/p&gt;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class="stat-value-2"&gt;4&lt;/span&gt;&lt;/p&gt;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class="stat-value-2"&gt;11&lt;/span&gt;&lt;/p&gt;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class="stat-value-2"&gt;5&lt;/span&gt;&lt;/p&gt;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class="stat-value-2"&gt;0.16&lt;/span&gt;&lt;/p&gt;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class="stat-value-2"&gt;0.23&lt;/span&gt;&lt;/p&gt;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class="stat-value-2"&gt;0.26&lt;/span&gt;&lt;/p&gt;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class="stat-value-2"&gt;0.14&lt;/span&gt;&lt;/p&gt;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class="stat-value-2"&gt;0.30&lt;/span&gt;&lt;/p&gt;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class="stat-value-2"&gt;0.31&lt;/span&gt;&lt;/p&gt;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class="stat-value-2"&gt;0.21&lt;/span&gt;&lt;/p&gt;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class="stat-value-2"&gt;0.28&lt;/span&gt;&lt;/p&gt;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class="stat-value-2"&gt;0.29&lt;/span&gt;&lt;/p&gt;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class="stat-value-2"&gt;0.13&lt;/span&gt;&lt;/p&gt;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class="stat-value-2"&gt;0.42&lt;/span&gt;&lt;/p&gt;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class="stat-value-2"&gt;0.06&lt;/span&gt;&lt;/p&gt;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class="stat-value-2"&gt;0.16&lt;/span&gt;&lt;/p&gt;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class="stat-value-2"&gt;0.18&lt;/span&gt;&lt;/p&gt;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class="stat-value-2"&gt;3&lt;/span&gt;&lt;/p&gt;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class="stat-value-2"&gt;1&lt;/span&gt;&lt;/p&gt;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class="stat-value-2"&gt;3&lt;/span&gt;&lt;/p&gt;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class="stat-value-2"&gt;3&lt;/span&gt;&lt;/p&gt;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class="stat-value-2"&gt;7&lt;/span&gt;&lt;/p&gt;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class="stat-value-2"&gt;6&lt;/span&gt;&lt;/p&gt;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class="stat-value-2"&gt;3&lt;/span&gt;&lt;/p&gt;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class="stat-value-2"&gt;1&lt;/span&gt;&lt;/p&gt;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class="stat-value-2"&gt;3&lt;/span&gt;&lt;/p&gt;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class="stat-value-2"&gt;2&lt;/span&gt;&lt;/p&gt;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class="stat-value-2"&gt;2&lt;/span&gt;&lt;/p&gt;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class="stat-value-2"&gt;2&lt;/span&gt;&lt;/p&gt;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class="stat-value-2"&gt;4&lt;/span&gt;&lt;/p&gt;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class="stat-value-2"&gt;6&lt;/span&gt;&lt;/p&gt;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class="stat-value-2"&gt;10&lt;/span&gt;&lt;/p&gt;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class="stat-value-2"&gt;3&lt;/span&gt;&lt;/p&gt;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class="stat-value-2"&gt;4&lt;/span&gt;&lt;/p&gt;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class="stat-value-2"&gt;4&lt;/span&gt;&lt;/p&gt;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class="stat-value-2"&gt;5&lt;/span&gt;&lt;/p&gt;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class="stat-value-2"&gt;1&lt;/span&gt;&lt;/p&gt;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class="stat-value-2"&gt;4&lt;/span&gt;&lt;/p&gt;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class="stat-value-2"&gt;1&lt;/span&gt;&lt;/p&gt;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class="stat-value-2"&gt;1&lt;/span&gt;&lt;/p&gt;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class="stat-value-2"&gt;0&lt;/span&gt;&lt;/p&gt;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class="stat-value-2"&gt;2&lt;/span&gt;&lt;/p&gt;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class="stat-value-2"&gt;1&lt;/span&gt;&lt;/p&gt;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class="stat-value-2"&gt;4&lt;/span&gt;&lt;/p&gt;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class="stat-value-2"&gt;1&lt;/span&gt;&lt;/p&gt;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class="stat-value-2"&gt;2&lt;/span&gt;&lt;/p&gt;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class="stat-value-2"&gt;2&lt;/span&gt;&lt;/p&gt;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class="stat-value-2"&gt;4&lt;/span&gt;&lt;/p&gt;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class="stat-value-2"&gt;1&lt;/span&gt;&lt;/p&gt;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class="stat-value-2"&gt;1&lt;/span&gt;&lt;/p&gt;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class="stat-value-2"&gt;1&lt;/span&gt;&lt;/p&gt;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class="stat-value-2"&gt;2&lt;/span&gt;&lt;/p&gt;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class="stat-value-2"&gt;2&lt;/span&gt;&lt;/p&gt;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class="stat-value-2"&gt;1&lt;/span&gt;&lt;/p&gt;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class="stat-value-2"&gt;1&lt;/span&gt;&lt;/p&gt;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class="stat-value-2"&gt;1&lt;/span&gt;&lt;/p&gt;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class="stat-value-2"&gt;2&lt;/span&gt;&lt;/p&gt;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class="stat-value-2"&gt;3&lt;/span&gt;&lt;/p&gt;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class="stat-value-2"&gt;2&lt;/span&gt;&lt;/p&gt;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class="stat-value-2"&gt;2&lt;/span&gt;&lt;/p&gt;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class="stat-value-2"&gt;2&lt;/span&gt;&lt;/p&gt;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class="stat-value-2"&gt;1&lt;/span&gt;&lt;/p&gt;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class="stat-value-2"&gt;0&lt;/span&gt;&lt;/p&gt;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class="stat-value-2"&gt;1&lt;/span&gt;&lt;/p&gt;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class="stat-value-2"&gt;1&lt;/span&gt;&lt;/p&gt;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class="stat-value-2"&gt;1&lt;/span&gt;&lt;/p&gt;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class="stat-value-2"&gt;1&lt;/span&gt;&lt;/p&gt;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class="stat-value-2"&gt;3&lt;/span&gt;&lt;/p&gt;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class="stat-value-2"&gt;6&lt;/span&gt;&lt;/p&gt;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class="stat-value-2"&gt;1&lt;/span&gt;&lt;/p&gt;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class="stat-value-2"&gt;12&lt;/span&gt;&lt;/p&gt;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class="stat-value-2"&gt;7&lt;/span&gt;&lt;/p&gt;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class="stat-value-2"&gt;0&lt;/span&gt;&lt;/p&gt;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class="stat-value-2"&gt;5&lt;/span&gt;&lt;/p&gt;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class="stat-value-2"&gt;0&lt;/span&gt;&lt;/p&gt;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class="stat-value-2"&gt;0&lt;/span&gt;&lt;/p&gt;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class="stat-value-2"&gt;5&lt;/span&gt;&lt;/p&gt;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class="stat-value-2"&gt;4&lt;/span&gt;&lt;/p&gt;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class="stat-value-2"&gt;0&lt;/span&gt;&lt;/p&gt;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class="stat-value-2"&gt;1&lt;/span&gt;&lt;/p&gt;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class="stat-value-2"&gt;4&lt;/span&gt;&lt;/p&gt;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class="stat-value-2"&gt;4&lt;/span&gt;&lt;/p&gt;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class="stat-value-2"&gt;4&lt;/span&gt;&lt;/p&gt;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class="stat-value-2"&gt;0&lt;/span&gt;&lt;/p&gt;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class="stat-value-2"&gt;1&lt;/span&gt;&lt;/p&gt;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class="stat-value-2"&gt;2&lt;/span&gt;&lt;/p&gt;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class="stat-value-2"&gt;2&lt;/span&gt;&lt;/p&gt;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class="stat-value-2"&gt;4&lt;/span&gt;&lt;/p&gt;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class="stat-value-2"&gt;2&lt;/span&gt;&lt;/p&gt;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8540-D971-4CEF-AE39-19BE1B794967}">
  <dimension ref="A1:AT157"/>
  <sheetViews>
    <sheetView topLeftCell="A102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24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 s="1">
        <f>IFERROR(N2/B2,0)</f>
        <v>0.125</v>
      </c>
      <c r="P2">
        <v>1</v>
      </c>
      <c r="Q2">
        <v>2</v>
      </c>
      <c r="R2">
        <v>1</v>
      </c>
      <c r="S2">
        <v>0</v>
      </c>
      <c r="T2">
        <v>0</v>
      </c>
      <c r="U2">
        <v>0</v>
      </c>
      <c r="V2">
        <v>0</v>
      </c>
      <c r="W2">
        <v>5</v>
      </c>
      <c r="X2">
        <v>9</v>
      </c>
      <c r="Y2" s="1">
        <f>IFERROR(X2/B2,0)</f>
        <v>0.375</v>
      </c>
      <c r="Z2">
        <v>12</v>
      </c>
      <c r="AA2" s="1">
        <f>IFERROR(Z2/B2,0)</f>
        <v>0.5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24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0.13&lt;/td&gt;&lt;td&gt;12&lt;/td&gt;&lt;td&gt;0.50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24&lt;/td&gt;&lt;td&gt;1&lt;/td&gt;&lt;td&gt;2&lt;/td&gt;&lt;td&gt;1&lt;/td&gt;&lt;td&gt;0&lt;/td&gt;&lt;td&gt;0&lt;/td&gt;&lt;td&gt;0&lt;/td&gt;&lt;td&gt;0&lt;/td&gt;&lt;td&gt;5&lt;/td&gt;&lt;td&gt;9&lt;/td&gt;&lt;td&gt;0.38&lt;/td&gt;&lt;td&gt;12&lt;/td&gt;&lt;td&gt;0.50&lt;/td&gt;&lt;/tr&gt;</v>
      </c>
    </row>
    <row r="3" spans="1:46" x14ac:dyDescent="0.3">
      <c r="A3" t="s">
        <v>26</v>
      </c>
      <c r="B3">
        <v>17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2</v>
      </c>
      <c r="O3" s="1">
        <f t="shared" ref="O3:O24" si="0">IFERROR(N3/B3,0)</f>
        <v>0.11764705882352941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2</v>
      </c>
      <c r="Y3" s="1">
        <f t="shared" ref="Y3:Y24" si="1">IFERROR(X3/B3,0)</f>
        <v>0.11764705882352941</v>
      </c>
      <c r="Z3">
        <v>4</v>
      </c>
      <c r="AA3" s="1">
        <f t="shared" ref="AA3:AA24" si="2">IFERROR(Z3/B3,0)</f>
        <v>0.23529411764705882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17&lt;/td&gt;&lt;td&gt;0&lt;/td&gt;&lt;td&gt;0&lt;/td&gt;&lt;td&gt;0&lt;/td&gt;&lt;td&gt;1&lt;/td&gt;&lt;td&gt;0&lt;/td&gt;&lt;td&gt;0&lt;/td&gt;&lt;td&gt;0&lt;/td&gt;&lt;td&gt;1&lt;/td&gt;&lt;td&gt;0&lt;/td&gt;&lt;td&gt;0&lt;/td&gt;&lt;td&gt;0&lt;/td&gt;&lt;td&gt;2&lt;/td&gt;&lt;td&gt;0.12&lt;/td&gt;&lt;td&gt;4&lt;/td&gt;&lt;td&gt;0.24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17&lt;/td&gt;&lt;td&gt;0&lt;/td&gt;&lt;td&gt;1&lt;/td&gt;&lt;td&gt;0&lt;/td&gt;&lt;td&gt;0&lt;/td&gt;&lt;td&gt;0&lt;/td&gt;&lt;td&gt;0&lt;/td&gt;&lt;td&gt;0&lt;/td&gt;&lt;td&gt;1&lt;/td&gt;&lt;td&gt;2&lt;/td&gt;&lt;td&gt;0.12&lt;/td&gt;&lt;td&gt;4&lt;/td&gt;&lt;td&gt;0.24&lt;/td&gt;&lt;/tr&gt;</v>
      </c>
    </row>
    <row r="4" spans="1:46" x14ac:dyDescent="0.3">
      <c r="A4" t="s">
        <v>27</v>
      </c>
      <c r="B4">
        <v>75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6</v>
      </c>
      <c r="K4">
        <v>5</v>
      </c>
      <c r="L4">
        <v>2</v>
      </c>
      <c r="M4">
        <v>1</v>
      </c>
      <c r="N4">
        <v>16</v>
      </c>
      <c r="O4" s="1">
        <f t="shared" si="0"/>
        <v>0.21333333333333335</v>
      </c>
      <c r="P4">
        <v>2</v>
      </c>
      <c r="Q4">
        <v>1</v>
      </c>
      <c r="R4">
        <v>2</v>
      </c>
      <c r="S4">
        <v>0</v>
      </c>
      <c r="T4">
        <v>0</v>
      </c>
      <c r="U4">
        <v>0</v>
      </c>
      <c r="V4">
        <v>0</v>
      </c>
      <c r="W4">
        <v>5</v>
      </c>
      <c r="X4">
        <v>10</v>
      </c>
      <c r="Y4" s="1">
        <f t="shared" si="1"/>
        <v>0.13333333333333333</v>
      </c>
      <c r="Z4">
        <v>26</v>
      </c>
      <c r="AA4" s="1">
        <f t="shared" si="2"/>
        <v>0.34666666666666668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75&lt;/td&gt;&lt;td&gt;0&lt;/td&gt;&lt;td&gt;0&lt;/td&gt;&lt;td&gt;0&lt;/td&gt;&lt;td&gt;1&lt;/td&gt;&lt;td&gt;0&lt;/td&gt;&lt;td&gt;1&lt;/td&gt;&lt;td&gt;0&lt;/td&gt;&lt;td&gt;6&lt;/td&gt;&lt;td&gt;5&lt;/td&gt;&lt;td&gt;2&lt;/td&gt;&lt;td&gt;1&lt;/td&gt;&lt;td&gt;16&lt;/td&gt;&lt;td&gt;0.21&lt;/td&gt;&lt;td&gt;26&lt;/td&gt;&lt;td&gt;0.35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75&lt;/td&gt;&lt;td&gt;2&lt;/td&gt;&lt;td&gt;1&lt;/td&gt;&lt;td&gt;2&lt;/td&gt;&lt;td&gt;0&lt;/td&gt;&lt;td&gt;0&lt;/td&gt;&lt;td&gt;0&lt;/td&gt;&lt;td&gt;0&lt;/td&gt;&lt;td&gt;5&lt;/td&gt;&lt;td&gt;10&lt;/td&gt;&lt;td&gt;0.13&lt;/td&gt;&lt;td&gt;26&lt;/td&gt;&lt;td&gt;0.35&lt;/td&gt;&lt;/tr&gt;</v>
      </c>
    </row>
    <row r="5" spans="1:46" x14ac:dyDescent="0.3">
      <c r="A5" t="s">
        <v>28</v>
      </c>
      <c r="B5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2</v>
      </c>
      <c r="M5">
        <v>0</v>
      </c>
      <c r="N5">
        <v>5</v>
      </c>
      <c r="O5" s="1">
        <f t="shared" si="0"/>
        <v>0.16666666666666666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2</v>
      </c>
      <c r="X5">
        <v>6</v>
      </c>
      <c r="Y5" s="1">
        <f t="shared" si="1"/>
        <v>0.2</v>
      </c>
      <c r="Z5">
        <v>11</v>
      </c>
      <c r="AA5" s="1">
        <f t="shared" si="2"/>
        <v>0.36666666666666664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30&lt;/td&gt;&lt;td&gt;0&lt;/td&gt;&lt;td&gt;0&lt;/td&gt;&lt;td&gt;0&lt;/td&gt;&lt;td&gt;0&lt;/td&gt;&lt;td&gt;0&lt;/td&gt;&lt;td&gt;1&lt;/td&gt;&lt;td&gt;0&lt;/td&gt;&lt;td&gt;1&lt;/td&gt;&lt;td&gt;1&lt;/td&gt;&lt;td&gt;2&lt;/td&gt;&lt;td&gt;0&lt;/td&gt;&lt;td&gt;5&lt;/td&gt;&lt;td&gt;0.17&lt;/td&gt;&lt;td&gt;11&lt;/td&gt;&lt;td&gt;0.37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30&lt;/td&gt;&lt;td&gt;1&lt;/td&gt;&lt;td&gt;0&lt;/td&gt;&lt;td&gt;1&lt;/td&gt;&lt;td&gt;1&lt;/td&gt;&lt;td&gt;0&lt;/td&gt;&lt;td&gt;1&lt;/td&gt;&lt;td&gt;0&lt;/td&gt;&lt;td&gt;2&lt;/td&gt;&lt;td&gt;6&lt;/td&gt;&lt;td&gt;0.20&lt;/td&gt;&lt;td&gt;11&lt;/td&gt;&lt;td&gt;0.37&lt;/td&gt;&lt;/tr&gt;</v>
      </c>
    </row>
    <row r="6" spans="1:46" x14ac:dyDescent="0.3">
      <c r="A6" t="s">
        <v>29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 s="1">
        <f t="shared" si="0"/>
        <v>8.3333333333333329E-2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2</v>
      </c>
      <c r="Y6" s="1">
        <f t="shared" si="1"/>
        <v>0.16666666666666666</v>
      </c>
      <c r="Z6">
        <v>3</v>
      </c>
      <c r="AA6" s="1">
        <f t="shared" si="2"/>
        <v>0.25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12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0.08&lt;/td&gt;&lt;td&gt;3&lt;/td&gt;&lt;td&gt;0.25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12&lt;/td&gt;&lt;td&gt;0&lt;/td&gt;&lt;td&gt;0&lt;/td&gt;&lt;td&gt;0&lt;/td&gt;&lt;td&gt;0&lt;/td&gt;&lt;td&gt;0&lt;/td&gt;&lt;td&gt;0&lt;/td&gt;&lt;td&gt;1&lt;/td&gt;&lt;td&gt;1&lt;/td&gt;&lt;td&gt;2&lt;/td&gt;&lt;td&gt;0.17&lt;/td&gt;&lt;td&gt;3&lt;/td&gt;&lt;td&gt;0.25&lt;/td&gt;&lt;/tr&gt;</v>
      </c>
    </row>
    <row r="7" spans="1:46" x14ac:dyDescent="0.3">
      <c r="A7" t="s">
        <v>30</v>
      </c>
      <c r="B7">
        <v>83</v>
      </c>
      <c r="C7">
        <v>0</v>
      </c>
      <c r="D7">
        <v>0</v>
      </c>
      <c r="E7">
        <v>0</v>
      </c>
      <c r="F7">
        <v>7</v>
      </c>
      <c r="G7">
        <v>0</v>
      </c>
      <c r="H7">
        <v>4</v>
      </c>
      <c r="I7">
        <v>2</v>
      </c>
      <c r="J7">
        <v>0</v>
      </c>
      <c r="K7">
        <v>0</v>
      </c>
      <c r="L7">
        <v>1</v>
      </c>
      <c r="M7">
        <v>0</v>
      </c>
      <c r="N7">
        <v>14</v>
      </c>
      <c r="O7" s="1">
        <f t="shared" si="0"/>
        <v>0.16867469879518071</v>
      </c>
      <c r="P7">
        <v>4</v>
      </c>
      <c r="Q7">
        <v>5</v>
      </c>
      <c r="R7">
        <v>5</v>
      </c>
      <c r="S7">
        <v>0</v>
      </c>
      <c r="T7">
        <v>1</v>
      </c>
      <c r="U7">
        <v>0</v>
      </c>
      <c r="V7">
        <v>2</v>
      </c>
      <c r="W7">
        <v>3</v>
      </c>
      <c r="X7">
        <v>20</v>
      </c>
      <c r="Y7" s="1">
        <f t="shared" si="1"/>
        <v>0.24096385542168675</v>
      </c>
      <c r="Z7">
        <v>34</v>
      </c>
      <c r="AA7" s="1">
        <f t="shared" si="2"/>
        <v>0.40963855421686746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83&lt;/td&gt;&lt;td&gt;0&lt;/td&gt;&lt;td&gt;0&lt;/td&gt;&lt;td&gt;0&lt;/td&gt;&lt;td&gt;7&lt;/td&gt;&lt;td&gt;0&lt;/td&gt;&lt;td&gt;4&lt;/td&gt;&lt;td&gt;2&lt;/td&gt;&lt;td&gt;0&lt;/td&gt;&lt;td&gt;0&lt;/td&gt;&lt;td&gt;1&lt;/td&gt;&lt;td&gt;0&lt;/td&gt;&lt;td&gt;14&lt;/td&gt;&lt;td&gt;0.17&lt;/td&gt;&lt;td&gt;34&lt;/td&gt;&lt;td&gt;0.41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83&lt;/td&gt;&lt;td&gt;4&lt;/td&gt;&lt;td&gt;5&lt;/td&gt;&lt;td&gt;5&lt;/td&gt;&lt;td&gt;0&lt;/td&gt;&lt;td&gt;1&lt;/td&gt;&lt;td&gt;0&lt;/td&gt;&lt;td&gt;2&lt;/td&gt;&lt;td&gt;3&lt;/td&gt;&lt;td&gt;20&lt;/td&gt;&lt;td&gt;0.24&lt;/td&gt;&lt;td&gt;34&lt;/td&gt;&lt;td&gt;0.41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73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2</v>
      </c>
      <c r="K10">
        <v>1</v>
      </c>
      <c r="L10">
        <v>2</v>
      </c>
      <c r="M10">
        <v>2</v>
      </c>
      <c r="N10">
        <v>9</v>
      </c>
      <c r="O10" s="1">
        <f t="shared" si="0"/>
        <v>0.12328767123287671</v>
      </c>
      <c r="P10">
        <v>0</v>
      </c>
      <c r="Q10">
        <v>1</v>
      </c>
      <c r="R10">
        <v>4</v>
      </c>
      <c r="S10">
        <v>0</v>
      </c>
      <c r="T10">
        <v>1</v>
      </c>
      <c r="U10">
        <v>0</v>
      </c>
      <c r="V10">
        <v>0</v>
      </c>
      <c r="W10">
        <v>3</v>
      </c>
      <c r="X10">
        <v>9</v>
      </c>
      <c r="Y10" s="1">
        <f t="shared" si="1"/>
        <v>0.12328767123287671</v>
      </c>
      <c r="Z10">
        <v>18</v>
      </c>
      <c r="AA10" s="1">
        <f t="shared" si="2"/>
        <v>0.24657534246575341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73&lt;/td&gt;&lt;td&gt;0&lt;/td&gt;&lt;td&gt;0&lt;/td&gt;&lt;td&gt;1&lt;/td&gt;&lt;td&gt;0&lt;/td&gt;&lt;td&gt;0&lt;/td&gt;&lt;td&gt;0&lt;/td&gt;&lt;td&gt;1&lt;/td&gt;&lt;td&gt;2&lt;/td&gt;&lt;td&gt;1&lt;/td&gt;&lt;td&gt;2&lt;/td&gt;&lt;td&gt;2&lt;/td&gt;&lt;td&gt;9&lt;/td&gt;&lt;td&gt;0.12&lt;/td&gt;&lt;td&gt;18&lt;/td&gt;&lt;td&gt;0.25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73&lt;/td&gt;&lt;td&gt;0&lt;/td&gt;&lt;td&gt;1&lt;/td&gt;&lt;td&gt;4&lt;/td&gt;&lt;td&gt;0&lt;/td&gt;&lt;td&gt;1&lt;/td&gt;&lt;td&gt;0&lt;/td&gt;&lt;td&gt;0&lt;/td&gt;&lt;td&gt;3&lt;/td&gt;&lt;td&gt;9&lt;/td&gt;&lt;td&gt;0.12&lt;/td&gt;&lt;td&gt;18&lt;/td&gt;&lt;td&gt;0.25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f t="shared" si="0"/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f t="shared" si="1"/>
        <v>0</v>
      </c>
      <c r="Z12"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74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 s="1">
        <f t="shared" si="0"/>
        <v>4.0540540540540543E-2</v>
      </c>
      <c r="P14">
        <v>2</v>
      </c>
      <c r="Q14">
        <v>2</v>
      </c>
      <c r="R14">
        <v>2</v>
      </c>
      <c r="S14">
        <v>0</v>
      </c>
      <c r="T14">
        <v>2</v>
      </c>
      <c r="U14">
        <v>0</v>
      </c>
      <c r="V14">
        <v>5</v>
      </c>
      <c r="W14">
        <v>3</v>
      </c>
      <c r="X14">
        <v>16</v>
      </c>
      <c r="Y14" s="1">
        <f t="shared" si="1"/>
        <v>0.21621621621621623</v>
      </c>
      <c r="Z14">
        <v>19</v>
      </c>
      <c r="AA14" s="1">
        <f t="shared" si="2"/>
        <v>0.25675675675675674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74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0.04&lt;/td&gt;&lt;td&gt;19&lt;/td&gt;&lt;td&gt;0.26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74&lt;/td&gt;&lt;td&gt;2&lt;/td&gt;&lt;td&gt;2&lt;/td&gt;&lt;td&gt;2&lt;/td&gt;&lt;td&gt;0&lt;/td&gt;&lt;td&gt;2&lt;/td&gt;&lt;td&gt;0&lt;/td&gt;&lt;td&gt;5&lt;/td&gt;&lt;td&gt;3&lt;/td&gt;&lt;td&gt;16&lt;/td&gt;&lt;td&gt;0.22&lt;/td&gt;&lt;td&gt;19&lt;/td&gt;&lt;td&gt;0.26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1</v>
      </c>
      <c r="F15">
        <v>1</v>
      </c>
      <c r="G15">
        <v>0</v>
      </c>
      <c r="H15">
        <v>3</v>
      </c>
      <c r="I15">
        <v>1</v>
      </c>
      <c r="J15">
        <v>1</v>
      </c>
      <c r="K15">
        <v>1</v>
      </c>
      <c r="L15">
        <v>0</v>
      </c>
      <c r="M15">
        <v>0</v>
      </c>
      <c r="N15">
        <v>8</v>
      </c>
      <c r="O15" s="1">
        <f t="shared" si="0"/>
        <v>8.8888888888888892E-2</v>
      </c>
      <c r="P15">
        <v>0</v>
      </c>
      <c r="Q15">
        <v>5</v>
      </c>
      <c r="R15">
        <v>2</v>
      </c>
      <c r="S15">
        <v>0</v>
      </c>
      <c r="T15">
        <v>2</v>
      </c>
      <c r="U15">
        <v>1</v>
      </c>
      <c r="V15">
        <v>4</v>
      </c>
      <c r="W15">
        <v>3</v>
      </c>
      <c r="X15">
        <v>17</v>
      </c>
      <c r="Y15" s="1">
        <f t="shared" si="1"/>
        <v>0.18888888888888888</v>
      </c>
      <c r="Z15">
        <v>25</v>
      </c>
      <c r="AA15" s="1">
        <f t="shared" si="2"/>
        <v>0.27777777777777779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1&lt;/td&gt;&lt;td&gt;1&lt;/td&gt;&lt;td&gt;0&lt;/td&gt;&lt;td&gt;3&lt;/td&gt;&lt;td&gt;1&lt;/td&gt;&lt;td&gt;1&lt;/td&gt;&lt;td&gt;1&lt;/td&gt;&lt;td&gt;0&lt;/td&gt;&lt;td&gt;0&lt;/td&gt;&lt;td&gt;8&lt;/td&gt;&lt;td&gt;0.09&lt;/td&gt;&lt;td&gt;25&lt;/td&gt;&lt;td&gt;0.28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0&lt;/td&gt;&lt;td&gt;5&lt;/td&gt;&lt;td&gt;2&lt;/td&gt;&lt;td&gt;0&lt;/td&gt;&lt;td&gt;2&lt;/td&gt;&lt;td&gt;1&lt;/td&gt;&lt;td&gt;4&lt;/td&gt;&lt;td&gt;3&lt;/td&gt;&lt;td&gt;17&lt;/td&gt;&lt;td&gt;0.19&lt;/td&gt;&lt;td&gt;25&lt;/td&gt;&lt;td&gt;0.28&lt;/td&gt;&lt;/tr&gt;</v>
      </c>
    </row>
    <row r="16" spans="1:46" x14ac:dyDescent="0.3">
      <c r="A16" t="s">
        <v>39</v>
      </c>
      <c r="B16">
        <v>36</v>
      </c>
      <c r="C16">
        <v>0</v>
      </c>
      <c r="D16">
        <v>0</v>
      </c>
      <c r="E16">
        <v>0</v>
      </c>
      <c r="F16">
        <v>3</v>
      </c>
      <c r="G16">
        <v>0</v>
      </c>
      <c r="H16">
        <v>0</v>
      </c>
      <c r="I16">
        <v>3</v>
      </c>
      <c r="J16">
        <v>1</v>
      </c>
      <c r="K16">
        <v>2</v>
      </c>
      <c r="L16">
        <v>1</v>
      </c>
      <c r="M16">
        <v>0</v>
      </c>
      <c r="N16">
        <v>10</v>
      </c>
      <c r="O16" s="1">
        <f t="shared" si="0"/>
        <v>0.27777777777777779</v>
      </c>
      <c r="P16">
        <v>3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7</v>
      </c>
      <c r="Y16" s="1">
        <f t="shared" si="1"/>
        <v>0.19444444444444445</v>
      </c>
      <c r="Z16">
        <v>17</v>
      </c>
      <c r="AA16" s="1">
        <f t="shared" si="2"/>
        <v>0.47222222222222221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36&lt;/td&gt;&lt;td&gt;0&lt;/td&gt;&lt;td&gt;0&lt;/td&gt;&lt;td&gt;0&lt;/td&gt;&lt;td&gt;3&lt;/td&gt;&lt;td&gt;0&lt;/td&gt;&lt;td&gt;0&lt;/td&gt;&lt;td&gt;3&lt;/td&gt;&lt;td&gt;1&lt;/td&gt;&lt;td&gt;2&lt;/td&gt;&lt;td&gt;1&lt;/td&gt;&lt;td&gt;0&lt;/td&gt;&lt;td&gt;10&lt;/td&gt;&lt;td&gt;0.28&lt;/td&gt;&lt;td&gt;17&lt;/td&gt;&lt;td&gt;0.47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36&lt;/td&gt;&lt;td&gt;3&lt;/td&gt;&lt;td&gt;3&lt;/td&gt;&lt;td&gt;0&lt;/td&gt;&lt;td&gt;0&lt;/td&gt;&lt;td&gt;0&lt;/td&gt;&lt;td&gt;0&lt;/td&gt;&lt;td&gt;0&lt;/td&gt;&lt;td&gt;1&lt;/td&gt;&lt;td&gt;7&lt;/td&gt;&lt;td&gt;0.19&lt;/td&gt;&lt;td&gt;17&lt;/td&gt;&lt;td&gt;0.47&lt;/td&gt;&lt;/tr&gt;</v>
      </c>
    </row>
    <row r="17" spans="1:46" x14ac:dyDescent="0.3">
      <c r="A17" t="s">
        <v>40</v>
      </c>
      <c r="B17">
        <v>67</v>
      </c>
      <c r="C17">
        <v>0</v>
      </c>
      <c r="D17">
        <v>0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1</v>
      </c>
      <c r="L17">
        <v>3</v>
      </c>
      <c r="M17">
        <v>1</v>
      </c>
      <c r="N17">
        <v>8</v>
      </c>
      <c r="O17" s="1">
        <f t="shared" si="0"/>
        <v>0.11940298507462686</v>
      </c>
      <c r="P17">
        <v>0</v>
      </c>
      <c r="Q17">
        <v>3</v>
      </c>
      <c r="R17">
        <v>2</v>
      </c>
      <c r="S17">
        <v>0</v>
      </c>
      <c r="T17">
        <v>0</v>
      </c>
      <c r="U17">
        <v>0</v>
      </c>
      <c r="V17">
        <v>1</v>
      </c>
      <c r="W17">
        <v>5</v>
      </c>
      <c r="X17">
        <v>11</v>
      </c>
      <c r="Y17" s="1">
        <f t="shared" si="1"/>
        <v>0.16417910447761194</v>
      </c>
      <c r="Z17">
        <v>19</v>
      </c>
      <c r="AA17" s="1">
        <f t="shared" si="2"/>
        <v>0.28358208955223879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67&lt;/td&gt;&lt;td&gt;0&lt;/td&gt;&lt;td&gt;0&lt;/td&gt;&lt;td&gt;0&lt;/td&gt;&lt;td&gt;3&lt;/td&gt;&lt;td&gt;0&lt;/td&gt;&lt;td&gt;0&lt;/td&gt;&lt;td&gt;0&lt;/td&gt;&lt;td&gt;0&lt;/td&gt;&lt;td&gt;1&lt;/td&gt;&lt;td&gt;3&lt;/td&gt;&lt;td&gt;1&lt;/td&gt;&lt;td&gt;8&lt;/td&gt;&lt;td&gt;0.12&lt;/td&gt;&lt;td&gt;19&lt;/td&gt;&lt;td&gt;0.28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67&lt;/td&gt;&lt;td&gt;0&lt;/td&gt;&lt;td&gt;3&lt;/td&gt;&lt;td&gt;2&lt;/td&gt;&lt;td&gt;0&lt;/td&gt;&lt;td&gt;0&lt;/td&gt;&lt;td&gt;0&lt;/td&gt;&lt;td&gt;1&lt;/td&gt;&lt;td&gt;5&lt;/td&gt;&lt;td&gt;11&lt;/td&gt;&lt;td&gt;0.16&lt;/td&gt;&lt;td&gt;19&lt;/td&gt;&lt;td&gt;0.28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73</v>
      </c>
      <c r="C19">
        <v>0</v>
      </c>
      <c r="D19">
        <v>0</v>
      </c>
      <c r="E19">
        <v>2</v>
      </c>
      <c r="F19">
        <v>3</v>
      </c>
      <c r="G19">
        <v>0</v>
      </c>
      <c r="H19">
        <v>2</v>
      </c>
      <c r="I19">
        <v>4</v>
      </c>
      <c r="J19">
        <v>2</v>
      </c>
      <c r="K19">
        <v>1</v>
      </c>
      <c r="L19">
        <v>2</v>
      </c>
      <c r="M19">
        <v>2</v>
      </c>
      <c r="N19">
        <v>18</v>
      </c>
      <c r="O19" s="1">
        <f t="shared" si="0"/>
        <v>0.24657534246575341</v>
      </c>
      <c r="P19">
        <v>1</v>
      </c>
      <c r="Q19">
        <v>1</v>
      </c>
      <c r="R19">
        <v>2</v>
      </c>
      <c r="S19">
        <v>0</v>
      </c>
      <c r="T19">
        <v>0</v>
      </c>
      <c r="U19">
        <v>0</v>
      </c>
      <c r="V19">
        <v>0</v>
      </c>
      <c r="W19">
        <v>5</v>
      </c>
      <c r="X19">
        <v>9</v>
      </c>
      <c r="Y19" s="1">
        <f t="shared" si="1"/>
        <v>0.12328767123287671</v>
      </c>
      <c r="Z19">
        <v>27</v>
      </c>
      <c r="AA19" s="1">
        <f t="shared" si="2"/>
        <v>0.36986301369863012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73&lt;/td&gt;&lt;td&gt;0&lt;/td&gt;&lt;td&gt;0&lt;/td&gt;&lt;td&gt;2&lt;/td&gt;&lt;td&gt;3&lt;/td&gt;&lt;td&gt;0&lt;/td&gt;&lt;td&gt;2&lt;/td&gt;&lt;td&gt;4&lt;/td&gt;&lt;td&gt;2&lt;/td&gt;&lt;td&gt;1&lt;/td&gt;&lt;td&gt;2&lt;/td&gt;&lt;td&gt;2&lt;/td&gt;&lt;td&gt;18&lt;/td&gt;&lt;td&gt;0.25&lt;/td&gt;&lt;td&gt;27&lt;/td&gt;&lt;td&gt;0.37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73&lt;/td&gt;&lt;td&gt;1&lt;/td&gt;&lt;td&gt;1&lt;/td&gt;&lt;td&gt;2&lt;/td&gt;&lt;td&gt;0&lt;/td&gt;&lt;td&gt;0&lt;/td&gt;&lt;td&gt;0&lt;/td&gt;&lt;td&gt;0&lt;/td&gt;&lt;td&gt;5&lt;/td&gt;&lt;td&gt;9&lt;/td&gt;&lt;td&gt;0.12&lt;/td&gt;&lt;td&gt;27&lt;/td&gt;&lt;td&gt;0.37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73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1</v>
      </c>
      <c r="J21">
        <v>2</v>
      </c>
      <c r="K21">
        <v>2</v>
      </c>
      <c r="L21">
        <v>1</v>
      </c>
      <c r="M21">
        <v>0</v>
      </c>
      <c r="N21">
        <v>9</v>
      </c>
      <c r="O21" s="1">
        <f t="shared" si="0"/>
        <v>0.12328767123287671</v>
      </c>
      <c r="P21">
        <v>3</v>
      </c>
      <c r="Q21">
        <v>5</v>
      </c>
      <c r="R21">
        <v>2</v>
      </c>
      <c r="S21">
        <v>0</v>
      </c>
      <c r="T21">
        <v>0</v>
      </c>
      <c r="U21">
        <v>0</v>
      </c>
      <c r="V21">
        <v>4</v>
      </c>
      <c r="W21">
        <v>4</v>
      </c>
      <c r="X21">
        <v>18</v>
      </c>
      <c r="Y21" s="1">
        <f t="shared" si="1"/>
        <v>0.24657534246575341</v>
      </c>
      <c r="Z21">
        <v>27</v>
      </c>
      <c r="AA21" s="1">
        <f t="shared" si="2"/>
        <v>0.36986301369863012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73&lt;/td&gt;&lt;td&gt;0&lt;/td&gt;&lt;td&gt;0&lt;/td&gt;&lt;td&gt;0&lt;/td&gt;&lt;td&gt;3&lt;/td&gt;&lt;td&gt;0&lt;/td&gt;&lt;td&gt;0&lt;/td&gt;&lt;td&gt;1&lt;/td&gt;&lt;td&gt;2&lt;/td&gt;&lt;td&gt;2&lt;/td&gt;&lt;td&gt;1&lt;/td&gt;&lt;td&gt;0&lt;/td&gt;&lt;td&gt;9&lt;/td&gt;&lt;td&gt;0.12&lt;/td&gt;&lt;td&gt;27&lt;/td&gt;&lt;td&gt;0.37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73&lt;/td&gt;&lt;td&gt;3&lt;/td&gt;&lt;td&gt;5&lt;/td&gt;&lt;td&gt;2&lt;/td&gt;&lt;td&gt;0&lt;/td&gt;&lt;td&gt;0&lt;/td&gt;&lt;td&gt;0&lt;/td&gt;&lt;td&gt;4&lt;/td&gt;&lt;td&gt;4&lt;/td&gt;&lt;td&gt;18&lt;/td&gt;&lt;td&gt;0.25&lt;/td&gt;&lt;td&gt;27&lt;/td&gt;&lt;td&gt;0.37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1</v>
      </c>
      <c r="F22">
        <v>3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10</v>
      </c>
      <c r="O22" s="1">
        <f t="shared" si="0"/>
        <v>0.1111111111111111</v>
      </c>
      <c r="P22">
        <v>1</v>
      </c>
      <c r="Q22">
        <v>7</v>
      </c>
      <c r="R22">
        <v>3</v>
      </c>
      <c r="S22">
        <v>0</v>
      </c>
      <c r="T22">
        <v>2</v>
      </c>
      <c r="U22">
        <v>0</v>
      </c>
      <c r="V22">
        <v>5</v>
      </c>
      <c r="W22">
        <v>3</v>
      </c>
      <c r="X22">
        <v>21</v>
      </c>
      <c r="Y22" s="1">
        <f t="shared" si="1"/>
        <v>0.23333333333333334</v>
      </c>
      <c r="Z22">
        <v>31</v>
      </c>
      <c r="AA22" s="1">
        <f t="shared" si="2"/>
        <v>0.34444444444444444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1&lt;/td&gt;&lt;td&gt;3&lt;/td&gt;&lt;td&gt;0&lt;/td&gt;&lt;td&gt;0&lt;/td&gt;&lt;td&gt;0&lt;/td&gt;&lt;td&gt;0&lt;/td&gt;&lt;td&gt;1&lt;/td&gt;&lt;td&gt;1&lt;/td&gt;&lt;td&gt;1&lt;/td&gt;&lt;td&gt;10&lt;/td&gt;&lt;td&gt;0.11&lt;/td&gt;&lt;td&gt;31&lt;/td&gt;&lt;td&gt;0.34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1&lt;/td&gt;&lt;td&gt;7&lt;/td&gt;&lt;td&gt;3&lt;/td&gt;&lt;td&gt;0&lt;/td&gt;&lt;td&gt;2&lt;/td&gt;&lt;td&gt;0&lt;/td&gt;&lt;td&gt;5&lt;/td&gt;&lt;td&gt;3&lt;/td&gt;&lt;td&gt;21&lt;/td&gt;&lt;td&gt;0.23&lt;/td&gt;&lt;td&gt;31&lt;/td&gt;&lt;td&gt;0.34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83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4</v>
      </c>
      <c r="J24">
        <v>0</v>
      </c>
      <c r="K24">
        <v>1</v>
      </c>
      <c r="L24">
        <v>3</v>
      </c>
      <c r="M24">
        <v>0</v>
      </c>
      <c r="N24">
        <v>10</v>
      </c>
      <c r="O24" s="1">
        <f t="shared" si="0"/>
        <v>0.12048192771084337</v>
      </c>
      <c r="P24">
        <v>7</v>
      </c>
      <c r="Q24">
        <v>6</v>
      </c>
      <c r="R24">
        <v>2</v>
      </c>
      <c r="S24">
        <v>0</v>
      </c>
      <c r="T24">
        <v>1</v>
      </c>
      <c r="U24">
        <v>3</v>
      </c>
      <c r="V24">
        <v>4</v>
      </c>
      <c r="W24">
        <v>6</v>
      </c>
      <c r="X24">
        <v>29</v>
      </c>
      <c r="Y24" s="1">
        <f t="shared" si="1"/>
        <v>0.3493975903614458</v>
      </c>
      <c r="Z24">
        <v>39</v>
      </c>
      <c r="AA24" s="1">
        <f t="shared" si="2"/>
        <v>0.46987951807228917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83&lt;/td&gt;&lt;td&gt;0&lt;/td&gt;&lt;td&gt;0&lt;/td&gt;&lt;td&gt;0&lt;/td&gt;&lt;td&gt;2&lt;/td&gt;&lt;td&gt;0&lt;/td&gt;&lt;td&gt;0&lt;/td&gt;&lt;td&gt;4&lt;/td&gt;&lt;td&gt;0&lt;/td&gt;&lt;td&gt;1&lt;/td&gt;&lt;td&gt;3&lt;/td&gt;&lt;td&gt;0&lt;/td&gt;&lt;td&gt;10&lt;/td&gt;&lt;td&gt;0.12&lt;/td&gt;&lt;td&gt;39&lt;/td&gt;&lt;td&gt;0.47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83&lt;/td&gt;&lt;td&gt;7&lt;/td&gt;&lt;td&gt;6&lt;/td&gt;&lt;td&gt;2&lt;/td&gt;&lt;td&gt;0&lt;/td&gt;&lt;td&gt;1&lt;/td&gt;&lt;td&gt;3&lt;/td&gt;&lt;td&gt;4&lt;/td&gt;&lt;td&gt;6&lt;/td&gt;&lt;td&gt;29&lt;/td&gt;&lt;td&gt;0.35&lt;/td&gt;&lt;td&gt;39&lt;/td&gt;&lt;td&gt;0.47&lt;/td&gt;&lt;/tr&gt;</v>
      </c>
    </row>
    <row r="26" spans="1:46" x14ac:dyDescent="0.3">
      <c r="A26" t="str">
        <f>AC4</f>
        <v>&lt;tr&gt;&lt;td&gt;Makovicka&lt;/td&gt;&lt;td&gt;75&lt;/td&gt;&lt;td&gt;0&lt;/td&gt;&lt;td&gt;0&lt;/td&gt;&lt;td&gt;0&lt;/td&gt;&lt;td&gt;1&lt;/td&gt;&lt;td&gt;0&lt;/td&gt;&lt;td&gt;1&lt;/td&gt;&lt;td&gt;0&lt;/td&gt;&lt;td&gt;6&lt;/td&gt;&lt;td&gt;5&lt;/td&gt;&lt;td&gt;2&lt;/td&gt;&lt;td&gt;1&lt;/td&gt;&lt;td&gt;16&lt;/td&gt;&lt;td&gt;0.21&lt;/td&gt;&lt;td&gt;26&lt;/td&gt;&lt;td&gt;0.35&lt;/td&gt;&lt;/tr&gt;</v>
      </c>
    </row>
    <row r="27" spans="1:46" x14ac:dyDescent="0.3">
      <c r="A27" t="str">
        <f>AC15</f>
        <v>&lt;tr&gt;&lt;td&gt;Williams&lt;/td&gt;&lt;td&gt;90&lt;/td&gt;&lt;td&gt;0&lt;/td&gt;&lt;td&gt;0&lt;/td&gt;&lt;td&gt;1&lt;/td&gt;&lt;td&gt;1&lt;/td&gt;&lt;td&gt;0&lt;/td&gt;&lt;td&gt;3&lt;/td&gt;&lt;td&gt;1&lt;/td&gt;&lt;td&gt;1&lt;/td&gt;&lt;td&gt;1&lt;/td&gt;&lt;td&gt;0&lt;/td&gt;&lt;td&gt;0&lt;/td&gt;&lt;td&gt;8&lt;/td&gt;&lt;td&gt;0.09&lt;/td&gt;&lt;td&gt;25&lt;/td&gt;&lt;td&gt;0.28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83&lt;/td&gt;&lt;td&gt;0&lt;/td&gt;&lt;td&gt;0&lt;/td&gt;&lt;td&gt;0&lt;/td&gt;&lt;td&gt;2&lt;/td&gt;&lt;td&gt;0&lt;/td&gt;&lt;td&gt;0&lt;/td&gt;&lt;td&gt;4&lt;/td&gt;&lt;td&gt;0&lt;/td&gt;&lt;td&gt;1&lt;/td&gt;&lt;td&gt;3&lt;/td&gt;&lt;td&gt;0&lt;/td&gt;&lt;td&gt;10&lt;/td&gt;&lt;td&gt;0.12&lt;/td&gt;&lt;td&gt;39&lt;/td&gt;&lt;td&gt;0.47&lt;/td&gt;&lt;/tr&gt;</v>
      </c>
    </row>
    <row r="30" spans="1:46" x14ac:dyDescent="0.3">
      <c r="A30" t="str">
        <f>AC12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1" spans="1:46" x14ac:dyDescent="0.3">
      <c r="A31" t="str">
        <f>AC22</f>
        <v>&lt;tr&gt;&lt;td&gt;Borer&lt;/td&gt;&lt;td&gt;90&lt;/td&gt;&lt;td&gt;0&lt;/td&gt;&lt;td&gt;0&lt;/td&gt;&lt;td&gt;1&lt;/td&gt;&lt;td&gt;3&lt;/td&gt;&lt;td&gt;0&lt;/td&gt;&lt;td&gt;0&lt;/td&gt;&lt;td&gt;0&lt;/td&gt;&lt;td&gt;0&lt;/td&gt;&lt;td&gt;1&lt;/td&gt;&lt;td&gt;1&lt;/td&gt;&lt;td&gt;1&lt;/td&gt;&lt;td&gt;10&lt;/td&gt;&lt;td&gt;0.11&lt;/td&gt;&lt;td&gt;31&lt;/td&gt;&lt;td&gt;0.34&lt;/td&gt;&lt;/tr&gt;</v>
      </c>
    </row>
    <row r="32" spans="1:46" x14ac:dyDescent="0.3">
      <c r="A32" t="str">
        <f>AC3</f>
        <v>&lt;tr&gt;&lt;td&gt;Geraneo&lt;/td&gt;&lt;td&gt;17&lt;/td&gt;&lt;td&gt;0&lt;/td&gt;&lt;td&gt;0&lt;/td&gt;&lt;td&gt;0&lt;/td&gt;&lt;td&gt;1&lt;/td&gt;&lt;td&gt;0&lt;/td&gt;&lt;td&gt;0&lt;/td&gt;&lt;td&gt;0&lt;/td&gt;&lt;td&gt;1&lt;/td&gt;&lt;td&gt;0&lt;/td&gt;&lt;td&gt;0&lt;/td&gt;&lt;td&gt;0&lt;/td&gt;&lt;td&gt;2&lt;/td&gt;&lt;td&gt;0.12&lt;/td&gt;&lt;td&gt;4&lt;/td&gt;&lt;td&gt;0.24&lt;/td&gt;&lt;/tr&gt;</v>
      </c>
    </row>
    <row r="33" spans="1:1" x14ac:dyDescent="0.3">
      <c r="A33" t="str">
        <f>AC7</f>
        <v>&lt;tr&gt;&lt;td&gt;Donnelly&lt;/td&gt;&lt;td&gt;83&lt;/td&gt;&lt;td&gt;0&lt;/td&gt;&lt;td&gt;0&lt;/td&gt;&lt;td&gt;0&lt;/td&gt;&lt;td&gt;7&lt;/td&gt;&lt;td&gt;0&lt;/td&gt;&lt;td&gt;4&lt;/td&gt;&lt;td&gt;2&lt;/td&gt;&lt;td&gt;0&lt;/td&gt;&lt;td&gt;0&lt;/td&gt;&lt;td&gt;1&lt;/td&gt;&lt;td&gt;0&lt;/td&gt;&lt;td&gt;14&lt;/td&gt;&lt;td&gt;0.17&lt;/td&gt;&lt;td&gt;34&lt;/td&gt;&lt;td&gt;0.41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74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0.04&lt;/td&gt;&lt;td&gt;19&lt;/td&gt;&lt;td&gt;0.26&lt;/td&gt;&lt;/tr&gt;</v>
      </c>
    </row>
    <row r="38" spans="1:1" x14ac:dyDescent="0.3">
      <c r="A38" t="str">
        <f>AC21</f>
        <v>&lt;tr&gt;&lt;td&gt;Snowden&lt;/td&gt;&lt;td&gt;73&lt;/td&gt;&lt;td&gt;0&lt;/td&gt;&lt;td&gt;0&lt;/td&gt;&lt;td&gt;0&lt;/td&gt;&lt;td&gt;3&lt;/td&gt;&lt;td&gt;0&lt;/td&gt;&lt;td&gt;0&lt;/td&gt;&lt;td&gt;1&lt;/td&gt;&lt;td&gt;2&lt;/td&gt;&lt;td&gt;2&lt;/td&gt;&lt;td&gt;1&lt;/td&gt;&lt;td&gt;0&lt;/td&gt;&lt;td&gt;9&lt;/td&gt;&lt;td&gt;0.12&lt;/td&gt;&lt;td&gt;27&lt;/td&gt;&lt;td&gt;0.37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30&lt;/td&gt;&lt;td&gt;0&lt;/td&gt;&lt;td&gt;0&lt;/td&gt;&lt;td&gt;0&lt;/td&gt;&lt;td&gt;0&lt;/td&gt;&lt;td&gt;0&lt;/td&gt;&lt;td&gt;1&lt;/td&gt;&lt;td&gt;0&lt;/td&gt;&lt;td&gt;1&lt;/td&gt;&lt;td&gt;1&lt;/td&gt;&lt;td&gt;2&lt;/td&gt;&lt;td&gt;0&lt;/td&gt;&lt;td&gt;5&lt;/td&gt;&lt;td&gt;0.17&lt;/td&gt;&lt;td&gt;11&lt;/td&gt;&lt;td&gt;0.37&lt;/td&gt;&lt;/tr&gt;</v>
      </c>
    </row>
    <row r="42" spans="1:1" x14ac:dyDescent="0.3">
      <c r="A42" t="str">
        <f>AC10</f>
        <v>&lt;tr&gt;&lt;td&gt;Rudney&lt;/td&gt;&lt;td&gt;73&lt;/td&gt;&lt;td&gt;0&lt;/td&gt;&lt;td&gt;0&lt;/td&gt;&lt;td&gt;1&lt;/td&gt;&lt;td&gt;0&lt;/td&gt;&lt;td&gt;0&lt;/td&gt;&lt;td&gt;0&lt;/td&gt;&lt;td&gt;1&lt;/td&gt;&lt;td&gt;2&lt;/td&gt;&lt;td&gt;1&lt;/td&gt;&lt;td&gt;2&lt;/td&gt;&lt;td&gt;2&lt;/td&gt;&lt;td&gt;9&lt;/td&gt;&lt;td&gt;0.12&lt;/td&gt;&lt;td&gt;18&lt;/td&gt;&lt;td&gt;0.25&lt;/td&gt;&lt;/tr&gt;</v>
      </c>
    </row>
    <row r="43" spans="1:1" x14ac:dyDescent="0.3">
      <c r="A43" t="str">
        <f>AC2</f>
        <v>&lt;tr&gt;&lt;td&gt;Jones&lt;/td&gt;&lt;td&gt;24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0.13&lt;/td&gt;&lt;td&gt;12&lt;/td&gt;&lt;td&gt;0.50&lt;/td&gt;&lt;/tr&gt;</v>
      </c>
    </row>
    <row r="44" spans="1:1" x14ac:dyDescent="0.3">
      <c r="A44" t="str">
        <f>AC19</f>
        <v>&lt;tr&gt;&lt;td&gt;Lewis&lt;/td&gt;&lt;td&gt;73&lt;/td&gt;&lt;td&gt;0&lt;/td&gt;&lt;td&gt;0&lt;/td&gt;&lt;td&gt;2&lt;/td&gt;&lt;td&gt;3&lt;/td&gt;&lt;td&gt;0&lt;/td&gt;&lt;td&gt;2&lt;/td&gt;&lt;td&gt;4&lt;/td&gt;&lt;td&gt;2&lt;/td&gt;&lt;td&gt;1&lt;/td&gt;&lt;td&gt;2&lt;/td&gt;&lt;td&gt;2&lt;/td&gt;&lt;td&gt;18&lt;/td&gt;&lt;td&gt;0.25&lt;/td&gt;&lt;td&gt;27&lt;/td&gt;&lt;td&gt;0.37&lt;/td&gt;&lt;/tr&gt;</v>
      </c>
    </row>
    <row r="45" spans="1:1" x14ac:dyDescent="0.3">
      <c r="A45" t="str">
        <f>AC17</f>
        <v>&lt;tr&gt;&lt;td&gt;Carpenter&lt;/td&gt;&lt;td&gt;67&lt;/td&gt;&lt;td&gt;0&lt;/td&gt;&lt;td&gt;0&lt;/td&gt;&lt;td&gt;0&lt;/td&gt;&lt;td&gt;3&lt;/td&gt;&lt;td&gt;0&lt;/td&gt;&lt;td&gt;0&lt;/td&gt;&lt;td&gt;0&lt;/td&gt;&lt;td&gt;0&lt;/td&gt;&lt;td&gt;1&lt;/td&gt;&lt;td&gt;3&lt;/td&gt;&lt;td&gt;1&lt;/td&gt;&lt;td&gt;8&lt;/td&gt;&lt;td&gt;0.12&lt;/td&gt;&lt;td&gt;19&lt;/td&gt;&lt;td&gt;0.28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36&lt;/td&gt;&lt;td&gt;0&lt;/td&gt;&lt;td&gt;0&lt;/td&gt;&lt;td&gt;0&lt;/td&gt;&lt;td&gt;3&lt;/td&gt;&lt;td&gt;0&lt;/td&gt;&lt;td&gt;0&lt;/td&gt;&lt;td&gt;3&lt;/td&gt;&lt;td&gt;1&lt;/td&gt;&lt;td&gt;2&lt;/td&gt;&lt;td&gt;1&lt;/td&gt;&lt;td&gt;0&lt;/td&gt;&lt;td&gt;10&lt;/td&gt;&lt;td&gt;0.28&lt;/td&gt;&lt;td&gt;17&lt;/td&gt;&lt;td&gt;0.47&lt;/td&gt;&lt;/tr&gt;</v>
      </c>
    </row>
    <row r="48" spans="1:1" x14ac:dyDescent="0.3">
      <c r="A48" t="str">
        <f>AC6</f>
        <v>&lt;tr&gt;&lt;td&gt;Wistrom&lt;/td&gt;&lt;td&gt;12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0.08&lt;/td&gt;&lt;td&gt;3&lt;/td&gt;&lt;td&gt;0.25&lt;/td&gt;&lt;/tr&gt;</v>
      </c>
    </row>
    <row r="50" spans="1:1" x14ac:dyDescent="0.3">
      <c r="A50" t="str">
        <f>AT4</f>
        <v>&lt;tr&gt;&lt;td&gt;Makovicka&lt;/td&gt;&lt;td&gt;75&lt;/td&gt;&lt;td&gt;2&lt;/td&gt;&lt;td&gt;1&lt;/td&gt;&lt;td&gt;2&lt;/td&gt;&lt;td&gt;0&lt;/td&gt;&lt;td&gt;0&lt;/td&gt;&lt;td&gt;0&lt;/td&gt;&lt;td&gt;0&lt;/td&gt;&lt;td&gt;5&lt;/td&gt;&lt;td&gt;10&lt;/td&gt;&lt;td&gt;0.13&lt;/td&gt;&lt;td&gt;26&lt;/td&gt;&lt;td&gt;0.35&lt;/td&gt;&lt;/tr&gt;</v>
      </c>
    </row>
    <row r="51" spans="1:1" x14ac:dyDescent="0.3">
      <c r="A51" t="str">
        <f>AT15</f>
        <v>&lt;tr&gt;&lt;td&gt;Williams&lt;/td&gt;&lt;td&gt;90&lt;/td&gt;&lt;td&gt;0&lt;/td&gt;&lt;td&gt;5&lt;/td&gt;&lt;td&gt;2&lt;/td&gt;&lt;td&gt;0&lt;/td&gt;&lt;td&gt;2&lt;/td&gt;&lt;td&gt;1&lt;/td&gt;&lt;td&gt;4&lt;/td&gt;&lt;td&gt;3&lt;/td&gt;&lt;td&gt;17&lt;/td&gt;&lt;td&gt;0.19&lt;/td&gt;&lt;td&gt;25&lt;/td&gt;&lt;td&gt;0.28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83&lt;/td&gt;&lt;td&gt;7&lt;/td&gt;&lt;td&gt;6&lt;/td&gt;&lt;td&gt;2&lt;/td&gt;&lt;td&gt;0&lt;/td&gt;&lt;td&gt;1&lt;/td&gt;&lt;td&gt;3&lt;/td&gt;&lt;td&gt;4&lt;/td&gt;&lt;td&gt;6&lt;/td&gt;&lt;td&gt;29&lt;/td&gt;&lt;td&gt;0.35&lt;/td&gt;&lt;td&gt;39&lt;/td&gt;&lt;td&gt;0.47&lt;/td&gt;&lt;/tr&gt;</v>
      </c>
    </row>
    <row r="54" spans="1:1" x14ac:dyDescent="0.3">
      <c r="A54" t="str">
        <f>AT12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5" spans="1:1" x14ac:dyDescent="0.3">
      <c r="A55" t="str">
        <f>AT22</f>
        <v>&lt;tr&gt;&lt;td&gt;Borer&lt;/td&gt;&lt;td&gt;90&lt;/td&gt;&lt;td&gt;1&lt;/td&gt;&lt;td&gt;7&lt;/td&gt;&lt;td&gt;3&lt;/td&gt;&lt;td&gt;0&lt;/td&gt;&lt;td&gt;2&lt;/td&gt;&lt;td&gt;0&lt;/td&gt;&lt;td&gt;5&lt;/td&gt;&lt;td&gt;3&lt;/td&gt;&lt;td&gt;21&lt;/td&gt;&lt;td&gt;0.23&lt;/td&gt;&lt;td&gt;31&lt;/td&gt;&lt;td&gt;0.34&lt;/td&gt;&lt;/tr&gt;</v>
      </c>
    </row>
    <row r="56" spans="1:1" x14ac:dyDescent="0.3">
      <c r="A56" t="str">
        <f>AT3</f>
        <v>&lt;tr&gt;&lt;td&gt;Geraneo&lt;/td&gt;&lt;td&gt;17&lt;/td&gt;&lt;td&gt;0&lt;/td&gt;&lt;td&gt;1&lt;/td&gt;&lt;td&gt;0&lt;/td&gt;&lt;td&gt;0&lt;/td&gt;&lt;td&gt;0&lt;/td&gt;&lt;td&gt;0&lt;/td&gt;&lt;td&gt;0&lt;/td&gt;&lt;td&gt;1&lt;/td&gt;&lt;td&gt;2&lt;/td&gt;&lt;td&gt;0.12&lt;/td&gt;&lt;td&gt;4&lt;/td&gt;&lt;td&gt;0.24&lt;/td&gt;&lt;/tr&gt;</v>
      </c>
    </row>
    <row r="57" spans="1:1" x14ac:dyDescent="0.3">
      <c r="A57" t="str">
        <f>AT7</f>
        <v>&lt;tr&gt;&lt;td&gt;Donnelly&lt;/td&gt;&lt;td&gt;83&lt;/td&gt;&lt;td&gt;4&lt;/td&gt;&lt;td&gt;5&lt;/td&gt;&lt;td&gt;5&lt;/td&gt;&lt;td&gt;0&lt;/td&gt;&lt;td&gt;1&lt;/td&gt;&lt;td&gt;0&lt;/td&gt;&lt;td&gt;2&lt;/td&gt;&lt;td&gt;3&lt;/td&gt;&lt;td&gt;20&lt;/td&gt;&lt;td&gt;0.24&lt;/td&gt;&lt;td&gt;34&lt;/td&gt;&lt;td&gt;0.41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74&lt;/td&gt;&lt;td&gt;2&lt;/td&gt;&lt;td&gt;2&lt;/td&gt;&lt;td&gt;2&lt;/td&gt;&lt;td&gt;0&lt;/td&gt;&lt;td&gt;2&lt;/td&gt;&lt;td&gt;0&lt;/td&gt;&lt;td&gt;5&lt;/td&gt;&lt;td&gt;3&lt;/td&gt;&lt;td&gt;16&lt;/td&gt;&lt;td&gt;0.22&lt;/td&gt;&lt;td&gt;19&lt;/td&gt;&lt;td&gt;0.26&lt;/td&gt;&lt;/tr&gt;</v>
      </c>
    </row>
    <row r="62" spans="1:1" x14ac:dyDescent="0.3">
      <c r="A62" t="str">
        <f>AT21</f>
        <v>&lt;tr&gt;&lt;td&gt;Snowden&lt;/td&gt;&lt;td&gt;73&lt;/td&gt;&lt;td&gt;3&lt;/td&gt;&lt;td&gt;5&lt;/td&gt;&lt;td&gt;2&lt;/td&gt;&lt;td&gt;0&lt;/td&gt;&lt;td&gt;0&lt;/td&gt;&lt;td&gt;0&lt;/td&gt;&lt;td&gt;4&lt;/td&gt;&lt;td&gt;4&lt;/td&gt;&lt;td&gt;18&lt;/td&gt;&lt;td&gt;0.25&lt;/td&gt;&lt;td&gt;27&lt;/td&gt;&lt;td&gt;0.37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30&lt;/td&gt;&lt;td&gt;1&lt;/td&gt;&lt;td&gt;0&lt;/td&gt;&lt;td&gt;1&lt;/td&gt;&lt;td&gt;1&lt;/td&gt;&lt;td&gt;0&lt;/td&gt;&lt;td&gt;1&lt;/td&gt;&lt;td&gt;0&lt;/td&gt;&lt;td&gt;2&lt;/td&gt;&lt;td&gt;6&lt;/td&gt;&lt;td&gt;0.20&lt;/td&gt;&lt;td&gt;11&lt;/td&gt;&lt;td&gt;0.37&lt;/td&gt;&lt;/tr&gt;</v>
      </c>
    </row>
    <row r="66" spans="1:23" x14ac:dyDescent="0.3">
      <c r="A66" t="str">
        <f>AT10</f>
        <v>&lt;tr&gt;&lt;td&gt;Rudney&lt;/td&gt;&lt;td&gt;73&lt;/td&gt;&lt;td&gt;0&lt;/td&gt;&lt;td&gt;1&lt;/td&gt;&lt;td&gt;4&lt;/td&gt;&lt;td&gt;0&lt;/td&gt;&lt;td&gt;1&lt;/td&gt;&lt;td&gt;0&lt;/td&gt;&lt;td&gt;0&lt;/td&gt;&lt;td&gt;3&lt;/td&gt;&lt;td&gt;9&lt;/td&gt;&lt;td&gt;0.12&lt;/td&gt;&lt;td&gt;18&lt;/td&gt;&lt;td&gt;0.25&lt;/td&gt;&lt;/tr&gt;</v>
      </c>
    </row>
    <row r="67" spans="1:23" x14ac:dyDescent="0.3">
      <c r="A67" t="str">
        <f>AT2</f>
        <v>&lt;tr&gt;&lt;td&gt;Jones&lt;/td&gt;&lt;td&gt;24&lt;/td&gt;&lt;td&gt;1&lt;/td&gt;&lt;td&gt;2&lt;/td&gt;&lt;td&gt;1&lt;/td&gt;&lt;td&gt;0&lt;/td&gt;&lt;td&gt;0&lt;/td&gt;&lt;td&gt;0&lt;/td&gt;&lt;td&gt;0&lt;/td&gt;&lt;td&gt;5&lt;/td&gt;&lt;td&gt;9&lt;/td&gt;&lt;td&gt;0.38&lt;/td&gt;&lt;td&gt;12&lt;/td&gt;&lt;td&gt;0.50&lt;/td&gt;&lt;/tr&gt;</v>
      </c>
    </row>
    <row r="68" spans="1:23" x14ac:dyDescent="0.3">
      <c r="A68" t="str">
        <f>AT19</f>
        <v>&lt;tr&gt;&lt;td&gt;Lewis&lt;/td&gt;&lt;td&gt;73&lt;/td&gt;&lt;td&gt;1&lt;/td&gt;&lt;td&gt;1&lt;/td&gt;&lt;td&gt;2&lt;/td&gt;&lt;td&gt;0&lt;/td&gt;&lt;td&gt;0&lt;/td&gt;&lt;td&gt;0&lt;/td&gt;&lt;td&gt;0&lt;/td&gt;&lt;td&gt;5&lt;/td&gt;&lt;td&gt;9&lt;/td&gt;&lt;td&gt;0.12&lt;/td&gt;&lt;td&gt;27&lt;/td&gt;&lt;td&gt;0.37&lt;/td&gt;&lt;/tr&gt;</v>
      </c>
    </row>
    <row r="69" spans="1:23" x14ac:dyDescent="0.3">
      <c r="A69" t="str">
        <f>AT17</f>
        <v>&lt;tr&gt;&lt;td&gt;Carpenter&lt;/td&gt;&lt;td&gt;67&lt;/td&gt;&lt;td&gt;0&lt;/td&gt;&lt;td&gt;3&lt;/td&gt;&lt;td&gt;2&lt;/td&gt;&lt;td&gt;0&lt;/td&gt;&lt;td&gt;0&lt;/td&gt;&lt;td&gt;0&lt;/td&gt;&lt;td&gt;1&lt;/td&gt;&lt;td&gt;5&lt;/td&gt;&lt;td&gt;11&lt;/td&gt;&lt;td&gt;0.16&lt;/td&gt;&lt;td&gt;19&lt;/td&gt;&lt;td&gt;0.28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36&lt;/td&gt;&lt;td&gt;3&lt;/td&gt;&lt;td&gt;3&lt;/td&gt;&lt;td&gt;0&lt;/td&gt;&lt;td&gt;0&lt;/td&gt;&lt;td&gt;0&lt;/td&gt;&lt;td&gt;0&lt;/td&gt;&lt;td&gt;0&lt;/td&gt;&lt;td&gt;1&lt;/td&gt;&lt;td&gt;7&lt;/td&gt;&lt;td&gt;0.19&lt;/td&gt;&lt;td&gt;17&lt;/td&gt;&lt;td&gt;0.47&lt;/td&gt;&lt;/tr&gt;</v>
      </c>
    </row>
    <row r="72" spans="1:23" x14ac:dyDescent="0.3">
      <c r="A72" t="str">
        <f>AT6</f>
        <v>&lt;tr&gt;&lt;td&gt;Wistrom&lt;/td&gt;&lt;td&gt;12&lt;/td&gt;&lt;td&gt;0&lt;/td&gt;&lt;td&gt;0&lt;/td&gt;&lt;td&gt;0&lt;/td&gt;&lt;td&gt;0&lt;/td&gt;&lt;td&gt;0&lt;/td&gt;&lt;td&gt;0&lt;/td&gt;&lt;td&gt;1&lt;/td&gt;&lt;td&gt;1&lt;/td&gt;&lt;td&gt;2&lt;/td&gt;&lt;td&gt;0.17&lt;/td&gt;&lt;td&gt;3&lt;/td&gt;&lt;td&gt;0.25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75,</v>
      </c>
      <c r="B76" t="str">
        <f>"minutes: "&amp;$B$15&amp;","</f>
        <v>minutes: 90,</v>
      </c>
      <c r="C76" t="str">
        <f>"minutes: "&amp;$B$9&amp;","</f>
        <v>minutes: 0,</v>
      </c>
      <c r="D76" t="str">
        <f>"minutes: "&amp;$B$24&amp;","</f>
        <v>minutes: 83,</v>
      </c>
      <c r="E76" t="str">
        <f>"minutes: "&amp;$B$12&amp;","</f>
        <v>minutes: 0,</v>
      </c>
      <c r="F76" t="str">
        <f>"minutes: "&amp;$B$22&amp;","</f>
        <v>minutes: 90,</v>
      </c>
      <c r="G76" t="str">
        <f>"minutes: "&amp;$B$3&amp;","</f>
        <v>minutes: 17,</v>
      </c>
      <c r="H76" t="str">
        <f>"minutes: "&amp;$B$7&amp;","</f>
        <v>minutes: 83,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74,</v>
      </c>
      <c r="M76" t="str">
        <f>"minutes: "&amp;$B$21&amp;","</f>
        <v>minutes: 73,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30,</v>
      </c>
      <c r="Q76" t="str">
        <f>"minutes: "&amp;$B$10&amp;","</f>
        <v>minutes: 73,</v>
      </c>
      <c r="R76" t="str">
        <f>"minutes: "&amp;$B$2&amp;","</f>
        <v>minutes: 24,</v>
      </c>
      <c r="S76" t="str">
        <f>"minutes: "&amp;$B$19&amp;","</f>
        <v>minutes: 73,</v>
      </c>
      <c r="T76" t="str">
        <f>"minutes: "&amp;$B$17&amp;","</f>
        <v>minutes: 67,</v>
      </c>
      <c r="U76" t="str">
        <f>"minutes: "&amp;$B$18&amp;","</f>
        <v>minutes: 0,</v>
      </c>
      <c r="V76" t="str">
        <f>"minutes: "&amp;$B$16&amp;","</f>
        <v>minutes: 36,</v>
      </c>
      <c r="W76" t="str">
        <f>"minutes: "&amp;$B$6&amp;","</f>
        <v>minutes: 12,</v>
      </c>
    </row>
    <row r="77" spans="1:23" x14ac:dyDescent="0.3">
      <c r="A77" t="str">
        <f>"totalActions: "&amp;$Z$4&amp;","</f>
        <v>totalActions: 26,</v>
      </c>
      <c r="B77" t="str">
        <f>"totalActions: "&amp;$Z$15&amp;","</f>
        <v>totalActions: 25,</v>
      </c>
      <c r="C77" t="str">
        <f>"totalActions: "&amp;$Z$9&amp;","</f>
        <v>totalActions: 0,</v>
      </c>
      <c r="D77" t="str">
        <f>"totalActions: "&amp;$Z$24&amp;","</f>
        <v>totalActions: 39,</v>
      </c>
      <c r="E77" t="str">
        <f>"totalActions: "&amp;$Z$12&amp;","</f>
        <v>totalActions: 0,</v>
      </c>
      <c r="F77" t="str">
        <f>"totalActions: "&amp;$Z$22&amp;","</f>
        <v>totalActions: 31,</v>
      </c>
      <c r="G77" t="str">
        <f>"totalActions: "&amp;$Z$3&amp;","</f>
        <v>totalActions: 4,</v>
      </c>
      <c r="H77" t="str">
        <f>"totalActions: "&amp;$Z$7&amp;","</f>
        <v>totalActions: 34,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19,</v>
      </c>
      <c r="M77" t="str">
        <f>"totalActions: "&amp;$Z$21&amp;","</f>
        <v>totalActions: 27,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11,</v>
      </c>
      <c r="Q77" t="str">
        <f>"totalActions: "&amp;$Z$10&amp;","</f>
        <v>totalActions: 18,</v>
      </c>
      <c r="R77" t="str">
        <f>"totalActions: "&amp;$Z$2&amp;","</f>
        <v>totalActions: 12,</v>
      </c>
      <c r="S77" t="str">
        <f>"totalActions: "&amp;$Z$19&amp;","</f>
        <v>totalActions: 27,</v>
      </c>
      <c r="T77" t="str">
        <f>"totalActions: "&amp;$Z$17&amp;","</f>
        <v>totalActions: 19,</v>
      </c>
      <c r="U77" t="str">
        <f>"totalActions: "&amp;$Z$18&amp;","</f>
        <v>totalActions: 0,</v>
      </c>
      <c r="V77" t="str">
        <f>"totalActions: "&amp;$Z$16&amp;","</f>
        <v>totalActions: 17,</v>
      </c>
      <c r="W77" t="str">
        <f>"totalActions: "&amp;$Z$6&amp;","</f>
        <v>totalActions: 3,</v>
      </c>
    </row>
    <row r="78" spans="1:23" x14ac:dyDescent="0.3">
      <c r="A78" t="str">
        <f>"actionsPerMinute: "&amp;TEXT($AA$4,"0.00")&amp;","</f>
        <v>actionsPerMinute: 0.35,</v>
      </c>
      <c r="B78" t="str">
        <f>"actionsPerMinute: "&amp;TEXT($AA$15,"0.00")&amp;","</f>
        <v>actionsPerMinute: 0.28,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0.47,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0.34,</v>
      </c>
      <c r="G78" t="str">
        <f>"actionsPerMinute: "&amp;TEXT($AA$3,"0.00")&amp;","</f>
        <v>actionsPerMinute: 0.24,</v>
      </c>
      <c r="H78" t="str">
        <f>"actionsPerMinute: "&amp;TEXT($AA$7,"0.00")&amp;","</f>
        <v>actionsPerMinute: 0.41,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0.26,</v>
      </c>
      <c r="M78" t="str">
        <f>"actionsPerMinute: "&amp;TEXT($AA$21,"0.00")&amp;","</f>
        <v>actionsPerMinute: 0.37,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0.37,</v>
      </c>
      <c r="Q78" t="str">
        <f>"actionsPerMinute: "&amp;TEXT($AA$10,"0.00")&amp;","</f>
        <v>actionsPerMinute: 0.25,</v>
      </c>
      <c r="R78" t="str">
        <f>"actionsPerMinute: "&amp;TEXT($AA$2,"0.00")&amp;","</f>
        <v>actionsPerMinute: 0.50,</v>
      </c>
      <c r="S78" t="str">
        <f>"actionsPerMinute: "&amp;TEXT($AA$19,"0.00")&amp;","</f>
        <v>actionsPerMinute: 0.37,</v>
      </c>
      <c r="T78" t="str">
        <f>"actionsPerMinute: "&amp;TEXT($AA$17,"0.00")&amp;","</f>
        <v>actionsPerMinute: 0.28,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0.47,</v>
      </c>
      <c r="W78" t="str">
        <f>"actionsPerMinute: "&amp;TEXT($AA$6,"0.00")&amp;","</f>
        <v>actionsPerMinute: 0.25,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16,</v>
      </c>
      <c r="B81" t="str">
        <f>"totalActions: "&amp;$N$15&amp;","</f>
        <v>totalActions: 8,</v>
      </c>
      <c r="C81" t="str">
        <f>"totalActions: "&amp;$N$9&amp;","</f>
        <v>totalActions: 0,</v>
      </c>
      <c r="D81" t="str">
        <f>"totalActions: "&amp;$N$24&amp;","</f>
        <v>totalActions: 10,</v>
      </c>
      <c r="E81" t="str">
        <f>"totalActions: "&amp;$N$12&amp;","</f>
        <v>totalActions: 0,</v>
      </c>
      <c r="F81" t="str">
        <f>"totalActions: "&amp;$N$22&amp;","</f>
        <v>totalActions: 10,</v>
      </c>
      <c r="G81" t="str">
        <f>"totalActions: "&amp;$N$3&amp;","</f>
        <v>totalActions: 2,</v>
      </c>
      <c r="H81" t="str">
        <f>"totalActions: "&amp;$N$7&amp;","</f>
        <v>totalActions: 14,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3,</v>
      </c>
      <c r="M81" t="str">
        <f>"totalActions: "&amp;$N$21&amp;","</f>
        <v>totalActions: 9,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5,</v>
      </c>
      <c r="Q81" t="str">
        <f>"totalActions: "&amp;$N$10&amp;","</f>
        <v>totalActions: 9,</v>
      </c>
      <c r="R81" t="str">
        <f>"totalActions: "&amp;$N$2&amp;","</f>
        <v>totalActions: 3,</v>
      </c>
      <c r="S81" t="str">
        <f>"totalActions: "&amp;$N$19&amp;","</f>
        <v>totalActions: 18,</v>
      </c>
      <c r="T81" t="str">
        <f>"totalActions: "&amp;$N$17&amp;","</f>
        <v>totalActions: 8,</v>
      </c>
      <c r="U81" t="str">
        <f>"totalActions: "&amp;$N$18&amp;","</f>
        <v>totalActions: 0,</v>
      </c>
      <c r="V81" t="str">
        <f>"totalActions: "&amp;$N$16&amp;","</f>
        <v>totalActions: 10,</v>
      </c>
      <c r="W81" t="str">
        <f>"totalActions: "&amp;$N$6&amp;","</f>
        <v>totalActions: 1,</v>
      </c>
    </row>
    <row r="82" spans="1:23" x14ac:dyDescent="0.3">
      <c r="A82" t="str">
        <f>"actionsPerMinute: "&amp;TEXT($O$4,"0.00")&amp;","</f>
        <v>actionsPerMinute: 0.21,</v>
      </c>
      <c r="B82" t="str">
        <f>"actionsPerMinute: "&amp;TEXT($O$15,"0.00")&amp;","</f>
        <v>actionsPerMinute: 0.09,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0.12,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0.11,</v>
      </c>
      <c r="G82" t="str">
        <f>"actionsPerMinute: "&amp;TEXT($O$3,"0.00")&amp;","</f>
        <v>actionsPerMinute: 0.12,</v>
      </c>
      <c r="H82" t="str">
        <f>"actionsPerMinute: "&amp;TEXT($O$7,"0.00")&amp;","</f>
        <v>actionsPerMinute: 0.17,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0.04,</v>
      </c>
      <c r="M82" t="str">
        <f>"actionsPerMinute: "&amp;TEXT($O$21,"0.00")&amp;","</f>
        <v>actionsPerMinute: 0.12,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0.17,</v>
      </c>
      <c r="Q82" t="str">
        <f>"actionsPerMinute: "&amp;TEXT($O$10,"0.00")&amp;","</f>
        <v>actionsPerMinute: 0.12,</v>
      </c>
      <c r="R82" t="str">
        <f>"actionsPerMinute: "&amp;TEXT($O$2,"0.00")&amp;","</f>
        <v>actionsPerMinute: 0.13,</v>
      </c>
      <c r="S82" t="str">
        <f>"actionsPerMinute: "&amp;TEXT($O$19,"0.00")&amp;","</f>
        <v>actionsPerMinute: 0.25,</v>
      </c>
      <c r="T82" t="str">
        <f>"actionsPerMinute: "&amp;TEXT($O$17,"0.00")&amp;","</f>
        <v>actionsPerMinute: 0.12,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0.28,</v>
      </c>
      <c r="W82" t="str">
        <f>"actionsPerMinute: "&amp;TEXT($O$6,"0.00")&amp;","</f>
        <v>actionsPerMinute: 0.08,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1,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1,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1,</v>
      </c>
      <c r="R85" t="str">
        <f>"keyPasses: "&amp;$E$2&amp;","</f>
        <v>keyPasses: 0,</v>
      </c>
      <c r="S85" t="str">
        <f>"keyPasses: "&amp;$E$19&amp;","</f>
        <v>keyPasses: 2,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1,</v>
      </c>
      <c r="B87" t="str">
        <f>"effectiveCrosses: "&amp;$H$15&amp;","</f>
        <v>effectiveCrosses: 3,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4,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1,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2,</v>
      </c>
      <c r="T87" t="str">
        <f>"effectiveCrosses: "&amp;$H$17&amp;","</f>
        <v>effectiveCrosses: 0,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1,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1,</v>
      </c>
      <c r="C88" t="str">
        <f>"oneVOnes: "&amp;$I$9&amp;","</f>
        <v>oneVOnes: 0,</v>
      </c>
      <c r="D88" t="str">
        <f>"oneVOnes: "&amp;$I$24&amp;","</f>
        <v>oneVOnes: 4,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2,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1,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0,</v>
      </c>
      <c r="Q88" t="str">
        <f>"oneVOnes: "&amp;$I$10&amp;","</f>
        <v>oneVOnes: 1,</v>
      </c>
      <c r="R88" t="str">
        <f>"oneVOnes: "&amp;$I$2&amp;","</f>
        <v>oneVOnes: 0,</v>
      </c>
      <c r="S88" t="str">
        <f>"oneVOnes: "&amp;$I$19&amp;","</f>
        <v>oneVOnes: 4,</v>
      </c>
      <c r="T88" t="str">
        <f>"oneVOnes: "&amp;$I$17&amp;","</f>
        <v>oneVOnes: 0,</v>
      </c>
      <c r="U88" t="str">
        <f>"oneVOnes: "&amp;$I$18&amp;","</f>
        <v>oneVOnes: 0,</v>
      </c>
      <c r="V88" t="str">
        <f>"oneVOnes: "&amp;$I$16&amp;","</f>
        <v>oneVOnes: 3,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6,</v>
      </c>
      <c r="B89" t="str">
        <f>"headers: "&amp;$J$15&amp;","</f>
        <v>headers: 1,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0,</v>
      </c>
      <c r="G89" t="str">
        <f>"headers: "&amp;$J$3&amp;","</f>
        <v>headers: 1,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2,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2,</v>
      </c>
      <c r="R89" t="str">
        <f>"headers: "&amp;$J$2&amp;","</f>
        <v>headers: 0,</v>
      </c>
      <c r="S89" t="str">
        <f>"headers: "&amp;$J$19&amp;","</f>
        <v>headers: 2,</v>
      </c>
      <c r="T89" t="str">
        <f>"headers: "&amp;$J$17&amp;","</f>
        <v>headers: 0,</v>
      </c>
      <c r="U89" t="str">
        <f>"headers: "&amp;$J$18&amp;","</f>
        <v>headers: 0,</v>
      </c>
      <c r="V89" t="str">
        <f>"headers: "&amp;$J$16&amp;","</f>
        <v>headers: 1,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5,</v>
      </c>
      <c r="B90" t="str">
        <f>"spEarned: "&amp;$K$15&amp;","</f>
        <v>spEarned: 1,</v>
      </c>
      <c r="C90" t="str">
        <f>"spEarned: "&amp;$K$9&amp;","</f>
        <v>spEarned: 0,</v>
      </c>
      <c r="D90" t="str">
        <f>"spEarned: "&amp;$K$24&amp;","</f>
        <v>spEarned: 1,</v>
      </c>
      <c r="E90" t="str">
        <f>"spEarned: "&amp;$K$12&amp;","</f>
        <v>spEarned: 0,</v>
      </c>
      <c r="F90" t="str">
        <f>"spEarned: "&amp;$K$22&amp;","</f>
        <v>spEarned: 1,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2,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1,</v>
      </c>
      <c r="Q90" t="str">
        <f>"spEarned: "&amp;$K$10&amp;","</f>
        <v>spEarned: 1,</v>
      </c>
      <c r="R90" t="str">
        <f>"spEarned: "&amp;$K$2&amp;","</f>
        <v>spEarned: 0,</v>
      </c>
      <c r="S90" t="str">
        <f>"spEarned: "&amp;$K$19&amp;","</f>
        <v>spEarned: 1,</v>
      </c>
      <c r="T90" t="str">
        <f>"spEarned: "&amp;$K$17&amp;","</f>
        <v>spEarned: 1,</v>
      </c>
      <c r="U90" t="str">
        <f>"spEarned: "&amp;$K$18&amp;","</f>
        <v>spEarned: 0,</v>
      </c>
      <c r="V90" t="str">
        <f>"spEarned: "&amp;$K$16&amp;","</f>
        <v>spEarned: 2,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1,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1,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2,</v>
      </c>
      <c r="R91" t="str">
        <f>"onTargetShots: "&amp;$M$2&amp;","</f>
        <v>onTargetShots: 0,</v>
      </c>
      <c r="S91" t="str">
        <f>"onTargetShots: "&amp;$M$19&amp;","</f>
        <v>onTargetShots: 2,</v>
      </c>
      <c r="T91" t="str">
        <f>"onTargetShots: "&amp;$M$17&amp;","</f>
        <v>onTargetShots: 1,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2,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3,</v>
      </c>
      <c r="E92" t="str">
        <f>"offTargetShots: "&amp;$L$12&amp;","</f>
        <v>offTargetShots: 0,</v>
      </c>
      <c r="F92" t="str">
        <f>"offTargetShots: "&amp;$L$22&amp;","</f>
        <v>offTargetShots: 1,</v>
      </c>
      <c r="G92" t="str">
        <f>"offTargetShots: "&amp;$L$3&amp;","</f>
        <v>offTargetShots: 0,</v>
      </c>
      <c r="H92" t="str">
        <f>"offTargetShots: "&amp;$L$7&amp;","</f>
        <v>offTargetShots: 1,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1,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2,</v>
      </c>
      <c r="Q92" t="str">
        <f>"offTargetShots: "&amp;$L$10&amp;","</f>
        <v>offTargetShots: 2,</v>
      </c>
      <c r="R92" t="str">
        <f>"offTargetShots: "&amp;$L$2&amp;","</f>
        <v>offTargetShots: 0,</v>
      </c>
      <c r="S92" t="str">
        <f>"offTargetShots: "&amp;$L$19&amp;","</f>
        <v>offTargetShots: 2,</v>
      </c>
      <c r="T92" t="str">
        <f>"offTargetShots: "&amp;$L$17&amp;","</f>
        <v>offTargetShots: 3,</v>
      </c>
      <c r="U92" t="str">
        <f>"offTargetShots: "&amp;$L$18&amp;","</f>
        <v>offTargetShots: 0,</v>
      </c>
      <c r="V92" t="str">
        <f>"offTargetShots: "&amp;$L$16&amp;","</f>
        <v>offTargetShots: 1,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10,</v>
      </c>
      <c r="B96" t="str">
        <f>"totalActions: "&amp;$X$15&amp;","</f>
        <v>totalActions: 17,</v>
      </c>
      <c r="C96" t="str">
        <f>"totalActions: "&amp;$X$9&amp;","</f>
        <v>totalActions: 0,</v>
      </c>
      <c r="D96" t="str">
        <f>"totalActions: "&amp;$X$24&amp;","</f>
        <v>totalActions: 29,</v>
      </c>
      <c r="E96" t="str">
        <f>"totalActions: "&amp;$X$12&amp;","</f>
        <v>totalActions: 0,</v>
      </c>
      <c r="F96" t="str">
        <f>"totalActions: "&amp;$X$22&amp;","</f>
        <v>totalActions: 21,</v>
      </c>
      <c r="G96" t="str">
        <f>"totalActions: "&amp;$X$3&amp;","</f>
        <v>totalActions: 2,</v>
      </c>
      <c r="H96" t="str">
        <f>"totalActions: "&amp;$X$7&amp;","</f>
        <v>totalActions: 20,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16,</v>
      </c>
      <c r="M96" t="str">
        <f>"totalActions: "&amp;$X$21&amp;","</f>
        <v>totalActions: 18,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6,</v>
      </c>
      <c r="Q96" t="str">
        <f>"totalActions: "&amp;$X$10&amp;","</f>
        <v>totalActions: 9,</v>
      </c>
      <c r="R96" t="str">
        <f>"totalActions: "&amp;$X$2&amp;","</f>
        <v>totalActions: 9,</v>
      </c>
      <c r="S96" t="str">
        <f>"totalActions: "&amp;$X$19&amp;","</f>
        <v>totalActions: 9,</v>
      </c>
      <c r="T96" t="str">
        <f>"totalActions: "&amp;$X$17&amp;","</f>
        <v>totalActions: 11,</v>
      </c>
      <c r="U96" t="str">
        <f>"totalActions: "&amp;$X$18&amp;","</f>
        <v>totalActions: 0,</v>
      </c>
      <c r="V96" t="str">
        <f>"totalActions: "&amp;$X$16&amp;","</f>
        <v>totalActions: 7,</v>
      </c>
      <c r="W96" t="str">
        <f>"totalActions: "&amp;$X$6&amp;","</f>
        <v>totalActions: 2,</v>
      </c>
    </row>
    <row r="97" spans="1:23" x14ac:dyDescent="0.3">
      <c r="A97" t="str">
        <f>"actionsPerMinute: "&amp;TEXT($Y$4,"0.00")&amp;","</f>
        <v>actionsPerMinute: 0.13,</v>
      </c>
      <c r="B97" t="str">
        <f>"actionsPerMinute: "&amp;TEXT($Y$15,"0.00")&amp;","</f>
        <v>actionsPerMinute: 0.19,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0.35,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0.23,</v>
      </c>
      <c r="G97" t="str">
        <f>"actionsPerMinute: "&amp;TEXT($Y$3,"0.00")&amp;","</f>
        <v>actionsPerMinute: 0.12,</v>
      </c>
      <c r="H97" t="str">
        <f>"actionsPerMinute: "&amp;TEXT($Y$7,"0.00")&amp;","</f>
        <v>actionsPerMinute: 0.24,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0.22,</v>
      </c>
      <c r="M97" t="str">
        <f>"actionsPerMinute: "&amp;TEXT($Y$21,"0.00")&amp;","</f>
        <v>actionsPerMinute: 0.25,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0.20,</v>
      </c>
      <c r="Q97" t="str">
        <f>"actionsPerMinute: "&amp;TEXT($Y$10,"0.00")&amp;","</f>
        <v>actionsPerMinute: 0.12,</v>
      </c>
      <c r="R97" t="str">
        <f>"actionsPerMinute: "&amp;TEXT($Y$2,"0.00")&amp;","</f>
        <v>actionsPerMinute: 0.38,</v>
      </c>
      <c r="S97" t="str">
        <f>"actionsPerMinute: "&amp;TEXT($Y$19,"0.00")&amp;","</f>
        <v>actionsPerMinute: 0.12,</v>
      </c>
      <c r="T97" t="str">
        <f>"actionsPerMinute: "&amp;TEXT($Y$17,"0.00")&amp;","</f>
        <v>actionsPerMinute: 0.16,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0.19,</v>
      </c>
      <c r="W97" t="str">
        <f>"actionsPerMinute: "&amp;TEXT($Y$6,"0.00")&amp;","</f>
        <v>actionsPerMinute: 0.17,</v>
      </c>
    </row>
    <row r="98" spans="1:23" x14ac:dyDescent="0.3">
      <c r="A98" t="str">
        <f>"tackles: "&amp;$P$4&amp;","</f>
        <v>tackles: 2,</v>
      </c>
      <c r="B98" t="str">
        <f>"tackles: "&amp;$P$15&amp;","</f>
        <v>tackles: 0,</v>
      </c>
      <c r="C98" t="str">
        <f>"tackles: "&amp;$P$9&amp;","</f>
        <v>tackles: 0,</v>
      </c>
      <c r="D98" t="str">
        <f>"tackles: "&amp;$P$24&amp;","</f>
        <v>tackles: 7,</v>
      </c>
      <c r="E98" t="str">
        <f>"tackles: "&amp;$P$12&amp;","</f>
        <v>tackles: 0,</v>
      </c>
      <c r="F98" t="str">
        <f>"tackles: "&amp;$P$22&amp;","</f>
        <v>tackles: 1,</v>
      </c>
      <c r="G98" t="str">
        <f>"tackles: "&amp;$P$3&amp;","</f>
        <v>tackles: 0,</v>
      </c>
      <c r="H98" t="str">
        <f>"tackles: "&amp;$P$7&amp;","</f>
        <v>tackles: 4,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2,</v>
      </c>
      <c r="M98" t="str">
        <f>"tackles: "&amp;$P$21&amp;","</f>
        <v>tackles: 3,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1,</v>
      </c>
      <c r="Q98" t="str">
        <f>"tackles: "&amp;$P$10&amp;","</f>
        <v>tackles: 0,</v>
      </c>
      <c r="R98" t="str">
        <f>"tackles: "&amp;$P$2&amp;","</f>
        <v>tackles: 1,</v>
      </c>
      <c r="S98" t="str">
        <f>"tackles: "&amp;$P$19&amp;","</f>
        <v>tackles: 1,</v>
      </c>
      <c r="T98" t="str">
        <f>"tackles: "&amp;$P$17&amp;","</f>
        <v>tackles: 0,</v>
      </c>
      <c r="U98" t="str">
        <f>"tackles: "&amp;$P$18&amp;","</f>
        <v>tackles: 0,</v>
      </c>
      <c r="V98" t="str">
        <f>"tackles: "&amp;$P$16&amp;","</f>
        <v>tackles: 3,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1,</v>
      </c>
      <c r="B99" t="str">
        <f>"interceptions: "&amp;$Q$15&amp;","</f>
        <v>interceptions: 5,</v>
      </c>
      <c r="C99" t="str">
        <f>"interceptions: "&amp;$Q$9&amp;","</f>
        <v>interceptions: 0,</v>
      </c>
      <c r="D99" t="str">
        <f>"interceptions: "&amp;$Q$24&amp;","</f>
        <v>interceptions: 6,</v>
      </c>
      <c r="E99" t="str">
        <f>"interceptions: "&amp;$Q$12&amp;","</f>
        <v>interceptions: 0,</v>
      </c>
      <c r="F99" t="str">
        <f>"interceptions: "&amp;$Q$22&amp;","</f>
        <v>interceptions: 7,</v>
      </c>
      <c r="G99" t="str">
        <f>"interceptions: "&amp;$Q$3&amp;","</f>
        <v>interceptions: 1,</v>
      </c>
      <c r="H99" t="str">
        <f>"interceptions: "&amp;$Q$7&amp;","</f>
        <v>interceptions: 5,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2,</v>
      </c>
      <c r="M99" t="str">
        <f>"interceptions: "&amp;$Q$21&amp;","</f>
        <v>interceptions: 5,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0,</v>
      </c>
      <c r="Q99" t="str">
        <f>"interceptions: "&amp;$Q$10&amp;","</f>
        <v>interceptions: 1,</v>
      </c>
      <c r="R99" t="str">
        <f>"interceptions: "&amp;$Q$2&amp;","</f>
        <v>interceptions: 2,</v>
      </c>
      <c r="S99" t="str">
        <f>"interceptions: "&amp;$Q$19&amp;","</f>
        <v>interceptions: 1,</v>
      </c>
      <c r="T99" t="str">
        <f>"interceptions: "&amp;$Q$17&amp;","</f>
        <v>interceptions: 3,</v>
      </c>
      <c r="U99" t="str">
        <f>"interceptions: "&amp;$Q$18&amp;","</f>
        <v>interceptions: 0,</v>
      </c>
      <c r="V99" t="str">
        <f>"interceptions: "&amp;$Q$16&amp;","</f>
        <v>interceptions: 3,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2,</v>
      </c>
      <c r="B100" t="str">
        <f>"fhRegains: "&amp;$R$15&amp;","</f>
        <v>fhRegains: 2,</v>
      </c>
      <c r="C100" t="str">
        <f>"fhRegains: "&amp;$R$9&amp;","</f>
        <v>fhRegains: 0,</v>
      </c>
      <c r="D100" t="str">
        <f>"fhRegains: "&amp;$R$24&amp;","</f>
        <v>fhRegains: 2,</v>
      </c>
      <c r="E100" t="str">
        <f>"fhRegains: "&amp;$R$12&amp;","</f>
        <v>fhRegains: 0,</v>
      </c>
      <c r="F100" t="str">
        <f>"fhRegains: "&amp;$R$22&amp;","</f>
        <v>fhRegains: 3,</v>
      </c>
      <c r="G100" t="str">
        <f>"fhRegains: "&amp;$R$3&amp;","</f>
        <v>fhRegains: 0,</v>
      </c>
      <c r="H100" t="str">
        <f>"fhRegains: "&amp;$R$7&amp;","</f>
        <v>fhRegains: 5,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2,</v>
      </c>
      <c r="M100" t="str">
        <f>"fhRegains: "&amp;$R$21&amp;","</f>
        <v>fhRegains: 2,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1,</v>
      </c>
      <c r="Q100" t="str">
        <f>"fhRegains: "&amp;$R$10&amp;","</f>
        <v>fhRegains: 4,</v>
      </c>
      <c r="R100" t="str">
        <f>"fhRegains: "&amp;$R$2&amp;","</f>
        <v>fhRegains: 1,</v>
      </c>
      <c r="S100" t="str">
        <f>"fhRegains: "&amp;$R$19&amp;","</f>
        <v>fhRegains: 2,</v>
      </c>
      <c r="T100" t="str">
        <f>"fhRegains: "&amp;$R$17&amp;","</f>
        <v>fhRegains: 2,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0,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0,</v>
      </c>
      <c r="G101" t="str">
        <f>"blocks: "&amp;$S$3&amp;","</f>
        <v>blocks: 0,</v>
      </c>
      <c r="H101" t="str">
        <f>"blocks: "&amp;$S$7&amp;","</f>
        <v>blocks: 0,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1,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2,</v>
      </c>
      <c r="C102" t="str">
        <f>"clearances: "&amp;$T$9&amp;","</f>
        <v>clearances: 0,</v>
      </c>
      <c r="D102" t="str">
        <f>"clearances: "&amp;$T$24&amp;","</f>
        <v>clearances: 1,</v>
      </c>
      <c r="E102" t="str">
        <f>"clearances: "&amp;$T$12&amp;","</f>
        <v>clearances: 0,</v>
      </c>
      <c r="F102" t="str">
        <f>"clearances: "&amp;$T$22&amp;","</f>
        <v>clearances: 2,</v>
      </c>
      <c r="G102" t="str">
        <f>"clearances: "&amp;$T$3&amp;","</f>
        <v>clearances: 0,</v>
      </c>
      <c r="H102" t="str">
        <f>"clearances: "&amp;$T$7&amp;","</f>
        <v>clearances: 1,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2,</v>
      </c>
      <c r="M102" t="str">
        <f>"clearances: "&amp;$T$21&amp;","</f>
        <v>clearances: 0,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1,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1,</v>
      </c>
      <c r="C103" t="str">
        <f>"separations: "&amp;$U$9&amp;","</f>
        <v>separations: 0,</v>
      </c>
      <c r="D103" t="str">
        <f>"separations: "&amp;$U$24&amp;","</f>
        <v>separations: 3,</v>
      </c>
      <c r="E103" t="str">
        <f>"separations: "&amp;$U$12&amp;","</f>
        <v>separations: 0,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0,</v>
      </c>
      <c r="M103" t="str">
        <f>"separations: "&amp;$U$21&amp;","</f>
        <v>separations: 0,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1,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0,</v>
      </c>
      <c r="B104" t="str">
        <f>"headers: "&amp;$V$15&amp;","</f>
        <v>headers: 4,</v>
      </c>
      <c r="C104" t="str">
        <f>"headers: "&amp;$V$9&amp;","</f>
        <v>headers: 0,</v>
      </c>
      <c r="D104" t="str">
        <f>"headers: "&amp;$V$24&amp;","</f>
        <v>headers: 4,</v>
      </c>
      <c r="E104" t="str">
        <f>"headers: "&amp;$V$12&amp;","</f>
        <v>headers: 0,</v>
      </c>
      <c r="F104" t="str">
        <f>"headers: "&amp;$V$22&amp;","</f>
        <v>headers: 5,</v>
      </c>
      <c r="G104" t="str">
        <f>"headers: "&amp;$V$3&amp;","</f>
        <v>headers: 0,</v>
      </c>
      <c r="H104" t="str">
        <f>"headers: "&amp;$V$7&amp;","</f>
        <v>headers: 2,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5,</v>
      </c>
      <c r="M104" t="str">
        <f>"headers: "&amp;$V$21&amp;","</f>
        <v>headers: 4,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1,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1,</v>
      </c>
    </row>
    <row r="105" spans="1:23" x14ac:dyDescent="0.3">
      <c r="A105" t="str">
        <f>"stopForwardCA: "&amp;$W$4&amp;","</f>
        <v>stopForwardCA: 5,</v>
      </c>
      <c r="B105" t="str">
        <f>"stopForwardCA: "&amp;$W$15&amp;","</f>
        <v>stopForwardCA: 3,</v>
      </c>
      <c r="C105" t="str">
        <f>"stopForwardCA: "&amp;$W$9&amp;","</f>
        <v>stopForwardCA: 0,</v>
      </c>
      <c r="D105" t="str">
        <f>"stopForwardCA: "&amp;$W$24&amp;","</f>
        <v>stopForwardCA: 6,</v>
      </c>
      <c r="E105" t="str">
        <f>"stopForwardCA: "&amp;$W$12&amp;","</f>
        <v>stopForwardCA: 0,</v>
      </c>
      <c r="F105" t="str">
        <f>"stopForwardCA: "&amp;$W$22&amp;","</f>
        <v>stopForwardCA: 3,</v>
      </c>
      <c r="G105" t="str">
        <f>"stopForwardCA: "&amp;$W$3&amp;","</f>
        <v>stopForwardCA: 1,</v>
      </c>
      <c r="H105" t="str">
        <f>"stopForwardCA: "&amp;$W$7&amp;","</f>
        <v>stopForwardCA: 3,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3,</v>
      </c>
      <c r="M105" t="str">
        <f>"stopForwardCA: "&amp;$W$21&amp;","</f>
        <v>stopForwardCA: 4,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2,</v>
      </c>
      <c r="Q105" t="str">
        <f>"stopForwardCA: "&amp;$W$10&amp;","</f>
        <v>stopForwardCA: 3,</v>
      </c>
      <c r="R105" t="str">
        <f>"stopForwardCA: "&amp;$W$2&amp;","</f>
        <v>stopForwardCA: 5,</v>
      </c>
      <c r="S105" t="str">
        <f>"stopForwardCA: "&amp;$W$19&amp;","</f>
        <v>stopForwardCA: 5,</v>
      </c>
      <c r="T105" t="str">
        <f>"stopForwardCA: "&amp;$W$17&amp;","</f>
        <v>stopForwardCA: 5,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1,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75,</v>
      </c>
      <c r="B109" t="str">
        <f>"minutes: "&amp;B$15&amp;","</f>
        <v>minutes: 90,</v>
      </c>
      <c r="C109" t="str">
        <f>"minutes: "&amp;B$9&amp;","</f>
        <v>minutes: 0,</v>
      </c>
      <c r="D109" t="str">
        <f>"minutes: "&amp;B$24&amp;","</f>
        <v>minutes: 83,</v>
      </c>
      <c r="E109" t="str">
        <f>"minutes: "&amp;B$12&amp;","</f>
        <v>minutes: 0,</v>
      </c>
      <c r="F109" t="str">
        <f>"minutes: "&amp;B$22&amp;","</f>
        <v>minutes: 90,</v>
      </c>
      <c r="G109" t="str">
        <f>"minutes: "&amp;B$3&amp;","</f>
        <v>minutes: 17,</v>
      </c>
      <c r="H109" t="str">
        <f>"minutes: "&amp;B$7&amp;","</f>
        <v>minutes: 83,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74,</v>
      </c>
      <c r="M109" t="str">
        <f>"minutes: "&amp;B$21&amp;","</f>
        <v>minutes: 73,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30,</v>
      </c>
      <c r="Q109" t="str">
        <f>"minutes: "&amp;B$10&amp;","</f>
        <v>minutes: 73,</v>
      </c>
      <c r="R109" t="str">
        <f>"minutes: "&amp;B$2&amp;","</f>
        <v>minutes: 24,</v>
      </c>
      <c r="S109" t="str">
        <f>"minutes: "&amp;B$19&amp;","</f>
        <v>minutes: 73,</v>
      </c>
      <c r="T109" t="str">
        <f>"minutes: "&amp;B$17&amp;","</f>
        <v>minutes: 67,</v>
      </c>
      <c r="U109" t="str">
        <f>"minutes: "&amp;B$18&amp;","</f>
        <v>minutes: 0,</v>
      </c>
      <c r="V109" t="str">
        <f>"minutes: "&amp;B$16&amp;","</f>
        <v>minutes: 36,</v>
      </c>
      <c r="W109" t="str">
        <f>"minutes: "&amp;B$6&amp;","</f>
        <v>minutes: 12,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1,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1,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1,</v>
      </c>
      <c r="R112" t="str">
        <f>"keyPasses: "&amp;$E$2&amp;","</f>
        <v>keyPasses: 0,</v>
      </c>
      <c r="S112" t="str">
        <f>"keyPasses: "&amp;$E$19&amp;","</f>
        <v>keyPasses: 2,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1,</v>
      </c>
      <c r="B113" t="str">
        <f>"startCA: "&amp;$F$15&amp;","</f>
        <v>startCA: 1,</v>
      </c>
      <c r="C113" t="str">
        <f>"startCA: "&amp;$F$9&amp;","</f>
        <v>startCA: 0,</v>
      </c>
      <c r="D113" t="str">
        <f>"startCA: "&amp;$F$24&amp;","</f>
        <v>startCA: 2,</v>
      </c>
      <c r="E113" t="str">
        <f>"startCA: "&amp;$F$12&amp;","</f>
        <v>startCA: 0,</v>
      </c>
      <c r="F113" t="str">
        <f>"startCA: "&amp;$F$22&amp;","</f>
        <v>startCA: 3,</v>
      </c>
      <c r="G113" t="str">
        <f>"startCA: "&amp;$F$3&amp;","</f>
        <v>startCA: 1,</v>
      </c>
      <c r="H113" t="str">
        <f>"startCA: "&amp;$F$7&amp;","</f>
        <v>startCA: 7,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3,</v>
      </c>
      <c r="M113" t="str">
        <f>"startCA: "&amp;$F$21&amp;","</f>
        <v>startCA: 3,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0,</v>
      </c>
      <c r="Q113" t="str">
        <f>"startCA: "&amp;$F$10&amp;","</f>
        <v>startCA: 0,</v>
      </c>
      <c r="R113" t="str">
        <f>"startCA: "&amp;$F$2&amp;","</f>
        <v>startCA: 3,</v>
      </c>
      <c r="S113" t="str">
        <f>"startCA: "&amp;$F$19&amp;","</f>
        <v>startCA: 3,</v>
      </c>
      <c r="T113" t="str">
        <f>"startCA: "&amp;$F$17&amp;","</f>
        <v>startCA: 3,</v>
      </c>
      <c r="U113" t="str">
        <f>"startCA: "&amp;$F$18&amp;","</f>
        <v>startCA: 0,</v>
      </c>
      <c r="V113" t="str">
        <f>"startCA: "&amp;$F$16&amp;","</f>
        <v>startCA: 3,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1,</v>
      </c>
      <c r="B115" t="str">
        <f>"effCrosses: "&amp;$H$15&amp;","</f>
        <v>effCrosses: 3,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4,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1,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2,</v>
      </c>
      <c r="T115" t="str">
        <f>"effCrosses: "&amp;$H$17&amp;","</f>
        <v>effCrosses: 0,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1,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1,</v>
      </c>
      <c r="C116" t="str">
        <f>"oneVones: "&amp;$I$9&amp;","</f>
        <v>oneVones: 0,</v>
      </c>
      <c r="D116" t="str">
        <f>"oneVones: "&amp;$I$24&amp;","</f>
        <v>oneVones: 4,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2,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1,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0,</v>
      </c>
      <c r="Q116" t="str">
        <f>"oneVones: "&amp;$I$10&amp;","</f>
        <v>oneVones: 1,</v>
      </c>
      <c r="R116" t="str">
        <f>"oneVones: "&amp;$I$2&amp;","</f>
        <v>oneVones: 0,</v>
      </c>
      <c r="S116" t="str">
        <f>"oneVones: "&amp;$I$19&amp;","</f>
        <v>oneVones: 4,</v>
      </c>
      <c r="T116" t="str">
        <f>"oneVones: "&amp;$I$17&amp;","</f>
        <v>oneVones: 0,</v>
      </c>
      <c r="U116" t="str">
        <f>"oneVones: "&amp;$I$18&amp;","</f>
        <v>oneVones: 0,</v>
      </c>
      <c r="V116" t="str">
        <f>"oneVones: "&amp;$I$16&amp;","</f>
        <v>oneVones: 3,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6,</v>
      </c>
      <c r="B117" t="str">
        <f>"attHeaders: "&amp;$J$15&amp;","</f>
        <v>attHeaders: 1,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0,</v>
      </c>
      <c r="G117" t="str">
        <f>"attHeaders: "&amp;$J$3&amp;","</f>
        <v>attHeaders: 1,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2,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2,</v>
      </c>
      <c r="R117" t="str">
        <f>"attHeaders: "&amp;$J$2&amp;","</f>
        <v>attHeaders: 0,</v>
      </c>
      <c r="S117" t="str">
        <f>"attHeaders: "&amp;$J$19&amp;","</f>
        <v>attHeaders: 2,</v>
      </c>
      <c r="T117" t="str">
        <f>"attHeaders: "&amp;$J$17&amp;","</f>
        <v>attHeaders: 0,</v>
      </c>
      <c r="U117" t="str">
        <f>"attHeaders: "&amp;$J$18&amp;","</f>
        <v>attHeaders: 0,</v>
      </c>
      <c r="V117" t="str">
        <f>"attHeaders: "&amp;$J$16&amp;","</f>
        <v>attHeaders: 1,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5,</v>
      </c>
      <c r="B118" t="str">
        <f>"spEarned: "&amp;$K$15&amp;","</f>
        <v>spEarned: 1,</v>
      </c>
      <c r="C118" t="str">
        <f>"spEarned: "&amp;$K$9&amp;","</f>
        <v>spEarned: 0,</v>
      </c>
      <c r="D118" t="str">
        <f>"spEarned: "&amp;$K$24&amp;","</f>
        <v>spEarned: 1,</v>
      </c>
      <c r="E118" t="str">
        <f>"spEarned: "&amp;$K$12&amp;","</f>
        <v>spEarned: 0,</v>
      </c>
      <c r="F118" t="str">
        <f>"spEarned: "&amp;$K$22&amp;","</f>
        <v>spEarned: 1,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2,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1,</v>
      </c>
      <c r="Q118" t="str">
        <f>"spEarned: "&amp;$K$10&amp;","</f>
        <v>spEarned: 1,</v>
      </c>
      <c r="R118" t="str">
        <f>"spEarned: "&amp;$K$2&amp;","</f>
        <v>spEarned: 0,</v>
      </c>
      <c r="S118" t="str">
        <f>"spEarned: "&amp;$K$19&amp;","</f>
        <v>spEarned: 1,</v>
      </c>
      <c r="T118" t="str">
        <f>"spEarned: "&amp;$K$17&amp;","</f>
        <v>spEarned: 1,</v>
      </c>
      <c r="U118" t="str">
        <f>"spEarned: "&amp;$K$18&amp;","</f>
        <v>spEarned: 0,</v>
      </c>
      <c r="V118" t="str">
        <f>"spEarned: "&amp;$K$16&amp;","</f>
        <v>spEarned: 2,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2,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3,</v>
      </c>
      <c r="E119" t="str">
        <f>"offTargetShots: "&amp;$L$12&amp;","</f>
        <v>offTargetShots: 0,</v>
      </c>
      <c r="F119" t="str">
        <f>"offTargetShots: "&amp;$L$22&amp;","</f>
        <v>offTargetShots: 1,</v>
      </c>
      <c r="G119" t="str">
        <f>"offTargetShots: "&amp;$L$3&amp;","</f>
        <v>offTargetShots: 0,</v>
      </c>
      <c r="H119" t="str">
        <f>"offTargetShots: "&amp;$L$7&amp;","</f>
        <v>offTargetShots: 1,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1,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2,</v>
      </c>
      <c r="Q119" t="str">
        <f>"offTargetShots: "&amp;$L$10&amp;","</f>
        <v>offTargetShots: 2,</v>
      </c>
      <c r="R119" t="str">
        <f>"offTargetShots: "&amp;$L$2&amp;","</f>
        <v>offTargetShots: 0,</v>
      </c>
      <c r="S119" t="str">
        <f>"offTargetShots: "&amp;$L$19&amp;","</f>
        <v>offTargetShots: 2,</v>
      </c>
      <c r="T119" t="str">
        <f>"offTargetShots: "&amp;$L$17&amp;","</f>
        <v>offTargetShots: 3,</v>
      </c>
      <c r="U119" t="str">
        <f>"offTargetShots: "&amp;$L$18&amp;","</f>
        <v>offTargetShots: 0,</v>
      </c>
      <c r="V119" t="str">
        <f>"offTargetShots: "&amp;$L$16&amp;","</f>
        <v>offTargetShots: 1,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1,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1,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2,</v>
      </c>
      <c r="R120" t="str">
        <f>"onTargetShots: "&amp;$M$2&amp;","</f>
        <v>onTargetShots: 0,</v>
      </c>
      <c r="S120" t="str">
        <f>"onTargetShots: "&amp;$M$19&amp;","</f>
        <v>onTargetShots: 2,</v>
      </c>
      <c r="T120" t="str">
        <f>"onTargetShots: "&amp;$M$17&amp;","</f>
        <v>onTargetShots: 1,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0.21,</v>
      </c>
      <c r="B121" t="str">
        <f>"totalOffActMin: "&amp;TEXT($O$15,"0.00")&amp;","</f>
        <v>totalOffActMin: 0.09,</v>
      </c>
      <c r="C121" t="str">
        <f>"totalOffActMin: "&amp;TEXT($O$9,"0.00")&amp;","</f>
        <v>totalOffActMin: 0.00,</v>
      </c>
      <c r="D121" t="str">
        <f>"totalOffActMin: "&amp;TEXT($O$24,"0.00")&amp;","</f>
        <v>totalOffActMin: 0.12,</v>
      </c>
      <c r="E121" t="str">
        <f>"totalOffActMin: "&amp;TEXT($O$12,"0.00")&amp;","</f>
        <v>totalOffActMin: 0.00,</v>
      </c>
      <c r="F121" t="str">
        <f>"totalOffActMin: "&amp;TEXT($O$22,"0.00")&amp;","</f>
        <v>totalOffActMin: 0.11,</v>
      </c>
      <c r="G121" t="str">
        <f>"totalOffActMin: "&amp;TEXT($O$3,"0.00")&amp;","</f>
        <v>totalOffActMin: 0.12,</v>
      </c>
      <c r="H121" t="str">
        <f>"totalOffActMin: "&amp;TEXT($O$7,"0.00")&amp;","</f>
        <v>totalOffActMin: 0.17,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0.04,</v>
      </c>
      <c r="M121" t="str">
        <f>"totalOffActMin: "&amp;TEXT($O$21,"0.00")&amp;","</f>
        <v>totalOffActMin: 0.12,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0.17,</v>
      </c>
      <c r="Q121" t="str">
        <f>"totalOffActMin: "&amp;TEXT($O$10,"0.00")&amp;","</f>
        <v>totalOffActMin: 0.12,</v>
      </c>
      <c r="R121" t="str">
        <f>"totalOffActMin: "&amp;TEXT($O$2,"0.00")&amp;","</f>
        <v>totalOffActMin: 0.13,</v>
      </c>
      <c r="S121" t="str">
        <f>"totalOffActMin: "&amp;TEXT($O$19,"0.00")&amp;","</f>
        <v>totalOffActMin: 0.25,</v>
      </c>
      <c r="T121" t="str">
        <f>"totalOffActMin: "&amp;TEXT($O$17,"0.00")&amp;","</f>
        <v>totalOffActMin: 0.12,</v>
      </c>
      <c r="U121" t="str">
        <f>"totalOffActMin: "&amp;TEXT($O$18,"0.00")&amp;","</f>
        <v>totalOffActMin: 0.00,</v>
      </c>
      <c r="V121" t="str">
        <f>"totalOffActMin: "&amp;TEXT($O$16,"0.00")&amp;","</f>
        <v>totalOffActMin: 0.28,</v>
      </c>
      <c r="W121" t="str">
        <f>"totalOffActMin: "&amp;TEXT($O$6,"0.00")&amp;","</f>
        <v>totalOffActMin: 0.08,</v>
      </c>
    </row>
    <row r="122" spans="1:23" x14ac:dyDescent="0.3">
      <c r="A122" t="str">
        <f>"tackles: "&amp;$P$4&amp;","</f>
        <v>tackles: 2,</v>
      </c>
      <c r="B122" t="str">
        <f>"tackles: "&amp;$P$15&amp;","</f>
        <v>tackles: 0,</v>
      </c>
      <c r="C122" t="str">
        <f>"tackles: "&amp;$P$9&amp;","</f>
        <v>tackles: 0,</v>
      </c>
      <c r="D122" t="str">
        <f>"tackles: "&amp;$P$24&amp;","</f>
        <v>tackles: 7,</v>
      </c>
      <c r="E122" t="str">
        <f>"tackles: "&amp;$P$12&amp;","</f>
        <v>tackles: 0,</v>
      </c>
      <c r="F122" t="str">
        <f>"tackles: "&amp;$P$22&amp;","</f>
        <v>tackles: 1,</v>
      </c>
      <c r="G122" t="str">
        <f>"tackles: "&amp;$P$3&amp;","</f>
        <v>tackles: 0,</v>
      </c>
      <c r="H122" t="str">
        <f>"tackles: "&amp;$P$7&amp;","</f>
        <v>tackles: 4,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2,</v>
      </c>
      <c r="M122" t="str">
        <f>"tackles: "&amp;$P$21&amp;","</f>
        <v>tackles: 3,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1,</v>
      </c>
      <c r="Q122" t="str">
        <f>"tackles: "&amp;$P$10&amp;","</f>
        <v>tackles: 0,</v>
      </c>
      <c r="R122" t="str">
        <f>"tackles: "&amp;$P$2&amp;","</f>
        <v>tackles: 1,</v>
      </c>
      <c r="S122" t="str">
        <f>"tackles: "&amp;$P$19&amp;","</f>
        <v>tackles: 1,</v>
      </c>
      <c r="T122" t="str">
        <f>"tackles: "&amp;$P$17&amp;","</f>
        <v>tackles: 0,</v>
      </c>
      <c r="U122" t="str">
        <f>"tackles: "&amp;$P$18&amp;","</f>
        <v>tackles: 0,</v>
      </c>
      <c r="V122" t="str">
        <f>"tackles: "&amp;$P$16&amp;","</f>
        <v>tackles: 3,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1,</v>
      </c>
      <c r="B123" t="str">
        <f>"interceptions: "&amp;$Q$15&amp;","</f>
        <v>interceptions: 5,</v>
      </c>
      <c r="C123" t="str">
        <f>"interceptions: "&amp;$Q$9&amp;","</f>
        <v>interceptions: 0,</v>
      </c>
      <c r="D123" t="str">
        <f>"interceptions: "&amp;$Q$24&amp;","</f>
        <v>interceptions: 6,</v>
      </c>
      <c r="E123" t="str">
        <f>"interceptions: "&amp;$Q$12&amp;","</f>
        <v>interceptions: 0,</v>
      </c>
      <c r="F123" t="str">
        <f>"interceptions: "&amp;$Q$22&amp;","</f>
        <v>interceptions: 7,</v>
      </c>
      <c r="G123" t="str">
        <f>"interceptions: "&amp;$Q$3&amp;","</f>
        <v>interceptions: 1,</v>
      </c>
      <c r="H123" t="str">
        <f>"interceptions: "&amp;$Q$7&amp;","</f>
        <v>interceptions: 5,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2,</v>
      </c>
      <c r="M123" t="str">
        <f>"interceptions: "&amp;$Q$21&amp;","</f>
        <v>interceptions: 5,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0,</v>
      </c>
      <c r="Q123" t="str">
        <f>"interceptions: "&amp;$Q$10&amp;","</f>
        <v>interceptions: 1,</v>
      </c>
      <c r="R123" t="str">
        <f>"interceptions: "&amp;$Q$2&amp;","</f>
        <v>interceptions: 2,</v>
      </c>
      <c r="S123" t="str">
        <f>"interceptions: "&amp;$Q$19&amp;","</f>
        <v>interceptions: 1,</v>
      </c>
      <c r="T123" t="str">
        <f>"interceptions: "&amp;$Q$17&amp;","</f>
        <v>interceptions: 3,</v>
      </c>
      <c r="U123" t="str">
        <f>"interceptions: "&amp;$Q$18&amp;","</f>
        <v>interceptions: 0,</v>
      </c>
      <c r="V123" t="str">
        <f>"interceptions: "&amp;$Q$16&amp;","</f>
        <v>interceptions: 3,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2,</v>
      </c>
      <c r="B124" t="str">
        <f>"fhRegains: "&amp;$R$15&amp;","</f>
        <v>fhRegains: 2,</v>
      </c>
      <c r="C124" t="str">
        <f>"fhRegains: "&amp;$R$9&amp;","</f>
        <v>fhRegains: 0,</v>
      </c>
      <c r="D124" t="str">
        <f>"fhRegains: "&amp;$R$24&amp;","</f>
        <v>fhRegains: 2,</v>
      </c>
      <c r="E124" t="str">
        <f>"fhRegains: "&amp;$R$12&amp;","</f>
        <v>fhRegains: 0,</v>
      </c>
      <c r="F124" t="str">
        <f>"fhRegains: "&amp;$R$22&amp;","</f>
        <v>fhRegains: 3,</v>
      </c>
      <c r="G124" t="str">
        <f>"fhRegains: "&amp;$R$3&amp;","</f>
        <v>fhRegains: 0,</v>
      </c>
      <c r="H124" t="str">
        <f>"fhRegains: "&amp;$R$7&amp;","</f>
        <v>fhRegains: 5,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2,</v>
      </c>
      <c r="M124" t="str">
        <f>"fhRegains: "&amp;$R$21&amp;","</f>
        <v>fhRegains: 2,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1,</v>
      </c>
      <c r="Q124" t="str">
        <f>"fhRegains: "&amp;$R$10&amp;","</f>
        <v>fhRegains: 4,</v>
      </c>
      <c r="R124" t="str">
        <f>"fhRegains: "&amp;$R$2&amp;","</f>
        <v>fhRegains: 1,</v>
      </c>
      <c r="S124" t="str">
        <f>"fhRegains: "&amp;$R$19&amp;","</f>
        <v>fhRegains: 2,</v>
      </c>
      <c r="T124" t="str">
        <f>"fhRegains: "&amp;$R$17&amp;","</f>
        <v>fhRegains: 2,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0,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0,</v>
      </c>
      <c r="G125" t="str">
        <f>"blocks: "&amp;$S$3&amp;","</f>
        <v>blocks: 0,</v>
      </c>
      <c r="H125" t="str">
        <f>"blocks: "&amp;$S$7&amp;","</f>
        <v>blocks: 0,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1,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2,</v>
      </c>
      <c r="C126" t="str">
        <f>"clearances: "&amp;$T$9&amp;","</f>
        <v>clearances: 0,</v>
      </c>
      <c r="D126" t="str">
        <f>"clearances: "&amp;$T$24&amp;","</f>
        <v>clearances: 1,</v>
      </c>
      <c r="E126" t="str">
        <f>"clearances: "&amp;$T$12&amp;","</f>
        <v>clearances: 0,</v>
      </c>
      <c r="F126" t="str">
        <f>"clearances: "&amp;$T$22&amp;","</f>
        <v>clearances: 2,</v>
      </c>
      <c r="G126" t="str">
        <f>"clearances: "&amp;$T$3&amp;","</f>
        <v>clearances: 0,</v>
      </c>
      <c r="H126" t="str">
        <f>"clearances: "&amp;$T$7&amp;","</f>
        <v>clearances: 1,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2,</v>
      </c>
      <c r="M126" t="str">
        <f>"clearances: "&amp;$T$21&amp;","</f>
        <v>clearances: 0,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1,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1,</v>
      </c>
      <c r="C127" t="str">
        <f>"separations: "&amp;$U$9&amp;","</f>
        <v>separations: 0,</v>
      </c>
      <c r="D127" t="str">
        <f>"separations: "&amp;$U$24&amp;","</f>
        <v>separations: 3,</v>
      </c>
      <c r="E127" t="str">
        <f>"separations: "&amp;$U$12&amp;","</f>
        <v>separations: 0,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0,</v>
      </c>
      <c r="M127" t="str">
        <f>"separations: "&amp;$U$21&amp;","</f>
        <v>separations: 0,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1,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0,</v>
      </c>
      <c r="B128" t="str">
        <f>"headers: "&amp;$V$15&amp;","</f>
        <v>headers: 4,</v>
      </c>
      <c r="C128" t="str">
        <f>"headers: "&amp;$V$9&amp;","</f>
        <v>headers: 0,</v>
      </c>
      <c r="D128" t="str">
        <f>"headers: "&amp;$V$24&amp;","</f>
        <v>headers: 4,</v>
      </c>
      <c r="E128" t="str">
        <f>"headers: "&amp;$V$12&amp;","</f>
        <v>headers: 0,</v>
      </c>
      <c r="F128" t="str">
        <f>"headers: "&amp;$V$22&amp;","</f>
        <v>headers: 5,</v>
      </c>
      <c r="G128" t="str">
        <f>"headers: "&amp;$V$3&amp;","</f>
        <v>headers: 0,</v>
      </c>
      <c r="H128" t="str">
        <f>"headers: "&amp;$V$7&amp;","</f>
        <v>headers: 2,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5,</v>
      </c>
      <c r="M128" t="str">
        <f>"headers: "&amp;$V$21&amp;","</f>
        <v>headers: 4,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1,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1,</v>
      </c>
    </row>
    <row r="129" spans="1:23" x14ac:dyDescent="0.3">
      <c r="A129" t="str">
        <f>"stopFwdCA: "&amp;$W$4&amp;","</f>
        <v>stopFwdCA: 5,</v>
      </c>
      <c r="B129" t="str">
        <f>"stopFwdCA: "&amp;$W$15&amp;","</f>
        <v>stopFwdCA: 3,</v>
      </c>
      <c r="C129" t="str">
        <f>"stopFwdCA: "&amp;$W$9&amp;","</f>
        <v>stopFwdCA: 0,</v>
      </c>
      <c r="D129" t="str">
        <f>"stopFwdCA: "&amp;$W$24&amp;","</f>
        <v>stopFwdCA: 6,</v>
      </c>
      <c r="E129" t="str">
        <f>"stopFwdCA: "&amp;$W$12&amp;","</f>
        <v>stopFwdCA: 0,</v>
      </c>
      <c r="F129" t="str">
        <f>"stopFwdCA: "&amp;$W$22&amp;","</f>
        <v>stopFwdCA: 3,</v>
      </c>
      <c r="G129" t="str">
        <f>"stopFwdCA: "&amp;$W$3&amp;","</f>
        <v>stopFwdCA: 1,</v>
      </c>
      <c r="H129" t="str">
        <f>"stopFwdCA: "&amp;$W$7&amp;","</f>
        <v>stopFwdCA: 3,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3,</v>
      </c>
      <c r="M129" t="str">
        <f>"stopFwdCA: "&amp;$W$21&amp;","</f>
        <v>stopFwdCA: 4,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2,</v>
      </c>
      <c r="Q129" t="str">
        <f>"stopFwdCA: "&amp;$W$10&amp;","</f>
        <v>stopFwdCA: 3,</v>
      </c>
      <c r="R129" t="str">
        <f>"stopFwdCA: "&amp;$W$2&amp;","</f>
        <v>stopFwdCA: 5,</v>
      </c>
      <c r="S129" t="str">
        <f>"stopFwdCA: "&amp;$W$19&amp;","</f>
        <v>stopFwdCA: 5,</v>
      </c>
      <c r="T129" t="str">
        <f>"stopFwdCA: "&amp;$W$17&amp;","</f>
        <v>stopFwdCA: 5,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1,</v>
      </c>
    </row>
    <row r="130" spans="1:23" x14ac:dyDescent="0.3">
      <c r="A130" t="str">
        <f>"totalDefActMin: "&amp;TEXT($Y$4,"0.00")&amp;","</f>
        <v>totalDefActMin: 0.13,</v>
      </c>
      <c r="B130" t="str">
        <f>"totalDefActMin: "&amp;TEXT($Y$15,"0.00")&amp;","</f>
        <v>totalDefActMin: 0.19,</v>
      </c>
      <c r="C130" t="str">
        <f>"totalDefActMin: "&amp;TEXT($Y$9,"0.00")&amp;","</f>
        <v>totalDefActMin: 0.00,</v>
      </c>
      <c r="D130" t="str">
        <f>"totalDefActMin: "&amp;TEXT($Y$24,"0.00")&amp;","</f>
        <v>totalDefActMin: 0.35,</v>
      </c>
      <c r="E130" t="str">
        <f>"totalDefActMin: "&amp;TEXT($Y$12,"0.00")&amp;","</f>
        <v>totalDefActMin: 0.00,</v>
      </c>
      <c r="F130" t="str">
        <f>"totalDefActMin: "&amp;TEXT($Y$22,"0.00")&amp;","</f>
        <v>totalDefActMin: 0.23,</v>
      </c>
      <c r="G130" t="str">
        <f>"totalDefActMin: "&amp;TEXT($Y$3,"0.00")&amp;","</f>
        <v>totalDefActMin: 0.12,</v>
      </c>
      <c r="H130" t="str">
        <f>"totalDefActMin: "&amp;TEXT($Y$7,"0.00")&amp;","</f>
        <v>totalDefActMin: 0.24,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0.22,</v>
      </c>
      <c r="M130" t="str">
        <f>"totalDefActMin: "&amp;TEXT($Y$21,"0.00")&amp;","</f>
        <v>totalDefActMin: 0.25,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0.20,</v>
      </c>
      <c r="Q130" t="str">
        <f>"totalDefActMin: "&amp;TEXT($Y$10,"0.00")&amp;","</f>
        <v>totalDefActMin: 0.12,</v>
      </c>
      <c r="R130" t="str">
        <f>"totalDefActMin: "&amp;TEXT($Y$2,"0.00")&amp;","</f>
        <v>totalDefActMin: 0.38,</v>
      </c>
      <c r="S130" t="str">
        <f>"totalDefActMin: "&amp;TEXT($Y$19,"0.00")&amp;","</f>
        <v>totalDefActMin: 0.12,</v>
      </c>
      <c r="T130" t="str">
        <f>"totalDefActMin: "&amp;TEXT($Y$17,"0.00")&amp;","</f>
        <v>totalDefActMin: 0.16,</v>
      </c>
      <c r="U130" t="str">
        <f>"totalDefActMin: "&amp;TEXT($Y$18,"0.00")&amp;","</f>
        <v>totalDefActMin: 0.00,</v>
      </c>
      <c r="V130" t="str">
        <f>"totalDefActMin: "&amp;TEXT($Y$16,"0.00")&amp;","</f>
        <v>totalDefActMin: 0.19,</v>
      </c>
      <c r="W130" t="str">
        <f>"totalDefActMin: "&amp;TEXT($Y$6,"0.00")&amp;","</f>
        <v>totalDefActMin: 0.17,</v>
      </c>
    </row>
    <row r="131" spans="1:23" x14ac:dyDescent="0.3">
      <c r="A131" t="str">
        <f>"totalActions: "&amp;$Z$4&amp;","</f>
        <v>totalActions: 26,</v>
      </c>
      <c r="B131" t="str">
        <f t="shared" ref="B131" si="4">"totalActions: "&amp;$Z$4&amp;","</f>
        <v>totalActions: 26,</v>
      </c>
      <c r="C131" t="str">
        <f>"totalActions: "&amp;$Z$9&amp;","</f>
        <v>totalActions: 0,</v>
      </c>
      <c r="D131" t="str">
        <f>"totalActions: "&amp;$Z$24&amp;","</f>
        <v>totalActions: 39,</v>
      </c>
      <c r="E131" t="str">
        <f>"totalActions: "&amp;$Z$12&amp;","</f>
        <v>totalActions: 0,</v>
      </c>
      <c r="F131" t="str">
        <f>"totalActions: "&amp;$Z$22&amp;","</f>
        <v>totalActions: 31,</v>
      </c>
      <c r="G131" t="str">
        <f>"totalActions: "&amp;$Z$3&amp;","</f>
        <v>totalActions: 4,</v>
      </c>
      <c r="H131" t="str">
        <f>"totalActions: "&amp;$Z$7&amp;","</f>
        <v>totalActions: 34,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19,</v>
      </c>
      <c r="M131" t="str">
        <f>"totalActions: "&amp;$Z$21&amp;","</f>
        <v>totalActions: 27,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11,</v>
      </c>
      <c r="Q131" t="str">
        <f>"totalActions: "&amp;$Z$10&amp;","</f>
        <v>totalActions: 18,</v>
      </c>
      <c r="R131" t="str">
        <f>"totalActions: "&amp;$Z$2&amp;","</f>
        <v>totalActions: 12,</v>
      </c>
      <c r="S131" t="str">
        <f>"totalActions: "&amp;$Z$19&amp;","</f>
        <v>totalActions: 27,</v>
      </c>
      <c r="T131" t="str">
        <f>"totalActions: "&amp;$Z$17&amp;","</f>
        <v>totalActions: 19,</v>
      </c>
      <c r="U131" t="str">
        <f>"totalActions: "&amp;$Z$18&amp;","</f>
        <v>totalActions: 0,</v>
      </c>
      <c r="V131" t="str">
        <f>"totalActions: "&amp;$Z$16&amp;","</f>
        <v>totalActions: 17,</v>
      </c>
      <c r="W131" t="str">
        <f>"totalActions: "&amp;$Z$6&amp;","</f>
        <v>totalActions: 3,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class="stat-value-2"&gt;16&lt;/span&gt;&lt;/p&gt;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class="stat-value-2"&gt;8&lt;/span&gt;&lt;/p&gt;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class="stat-value-2"&gt;10&lt;/span&gt;&lt;/p&gt;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class="stat-value-2"&gt;0&lt;/span&gt;&lt;/p&gt;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class="stat-value-2"&gt;10&lt;/span&gt;&lt;/p&gt;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class="stat-value-2"&gt;2&lt;/span&gt;&lt;/p&gt;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class="stat-value-2"&gt;14&lt;/span&gt;&lt;/p&gt;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class="stat-value-2"&gt;3&lt;/span&gt;&lt;/p&gt;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class="stat-value-2"&gt;9&lt;/span&gt;&lt;/p&gt;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class="stat-value-2"&gt;5&lt;/span&gt;&lt;/p&gt;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class="stat-value-2"&gt;9&lt;/span&gt;&lt;/p&gt;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class="stat-value-2"&gt;3&lt;/span&gt;&lt;/p&gt;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class="stat-value-2"&gt;18&lt;/span&gt;&lt;/p&gt;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class="stat-value-2"&gt;8&lt;/span&gt;&lt;/p&gt;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class="stat-value-2"&gt;10&lt;/span&gt;&lt;/p&gt;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class="stat-value-2"&gt;1&lt;/span&gt;&lt;/p&gt;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class="stat-value-2"&gt;0.21&lt;/span&gt;&lt;/p&gt;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class="stat-value-2"&gt;0.09&lt;/span&gt;&lt;/p&gt;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class="stat-value-2"&gt;0.12&lt;/span&gt;&lt;/p&gt;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class="stat-value-2"&gt;0.11&lt;/span&gt;&lt;/p&gt;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class="stat-value-2"&gt;0.12&lt;/span&gt;&lt;/p&gt;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class="stat-value-2"&gt;0.17&lt;/span&gt;&lt;/p&gt;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class="stat-value-2"&gt;0.04&lt;/span&gt;&lt;/p&gt;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class="stat-value-2"&gt;0.12&lt;/span&gt;&lt;/p&gt;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class="stat-value-2"&gt;0.17&lt;/span&gt;&lt;/p&gt;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class="stat-value-2"&gt;0.12&lt;/span&gt;&lt;/p&gt;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class="stat-value-2"&gt;0.13&lt;/span&gt;&lt;/p&gt;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class="stat-value-2"&gt;0.25&lt;/span&gt;&lt;/p&gt;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class="stat-value-2"&gt;0.12&lt;/span&gt;&lt;/p&gt;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class="stat-value-2"&gt;0.28&lt;/span&gt;&lt;/p&gt;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class="stat-value-2"&gt;0.08&lt;/span&gt;&lt;/p&gt;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class="stat-value-2"&gt;1&lt;/span&gt;&lt;/p&gt;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class="stat-value-2"&gt;1&lt;/span&gt;&lt;/p&gt;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class="stat-value-2"&gt;1&lt;/span&gt;&lt;/p&gt;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class="stat-value-2"&gt;2&lt;/span&gt;&lt;/p&gt;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class="stat-value-2"&gt;1&lt;/span&gt;&lt;/p&gt;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class="stat-value-2"&gt;1&lt;/span&gt;&lt;/p&gt;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class="stat-value-2"&gt;2&lt;/span&gt;&lt;/p&gt;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class="stat-value-2"&gt;0&lt;/span&gt;&lt;/p&gt;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class="stat-value-2"&gt;3&lt;/span&gt;&lt;/p&gt;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class="stat-value-2"&gt;1&lt;/span&gt;&lt;/p&gt;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class="stat-value-2"&gt;7&lt;/span&gt;&lt;/p&gt;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class="stat-value-2"&gt;3&lt;/span&gt;&lt;/p&gt;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class="stat-value-2"&gt;3&lt;/span&gt;&lt;/p&gt;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class="stat-value-2"&gt;0&lt;/span&gt;&lt;/p&gt;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class="stat-value-2"&gt;0&lt;/span&gt;&lt;/p&gt;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class="stat-value-2"&gt;3&lt;/span&gt;&lt;/p&gt;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class="stat-value-2"&gt;3&lt;/span&gt;&lt;/p&gt;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class="stat-value-2"&gt;3&lt;/span&gt;&lt;/p&gt;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class="stat-value-2"&gt;3&lt;/span&gt;&lt;/p&gt;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class="stat-value-2"&gt;1&lt;/span&gt;&lt;/p&gt;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class="stat-value-2"&gt;3&lt;/span&gt;&lt;/p&gt;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class="stat-value-2"&gt;4&lt;/span&gt;&lt;/p&gt;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class="stat-value-2"&gt;1&lt;/span&gt;&lt;/p&gt;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class="stat-value-2"&gt;2&lt;/span&gt;&lt;/p&gt;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class="stat-value-2"&gt;0&lt;/span&gt;&lt;/p&gt;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class="stat-value-2"&gt;1&lt;/span&gt;&lt;/p&gt;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class="stat-value-2"&gt;1&lt;/span&gt;&lt;/p&gt;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class="stat-value-2"&gt;4&lt;/span&gt;&lt;/p&gt;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class="stat-value-2"&gt;2&lt;/span&gt;&lt;/p&gt;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class="stat-value-2"&gt;1&lt;/span&gt;&lt;/p&gt;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class="stat-value-2"&gt;0&lt;/span&gt;&lt;/p&gt;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class="stat-value-2"&gt;1&lt;/span&gt;&lt;/p&gt;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class="stat-value-2"&gt;4&lt;/span&gt;&lt;/p&gt;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class="stat-value-2"&gt;0&lt;/span&gt;&lt;/p&gt;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class="stat-value-2"&gt;3&lt;/span&gt;&lt;/p&gt;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class="stat-value-2"&gt;6&lt;/span&gt;&lt;/p&gt;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class="stat-value-2"&gt;1&lt;/span&gt;&lt;/p&gt;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class="stat-value-2"&gt;0&lt;/span&gt;&lt;/p&gt;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class="stat-value-2"&gt;1&lt;/span&gt;&lt;/p&gt;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class="stat-value-2"&gt;2&lt;/span&gt;&lt;/p&gt;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class="stat-value-2"&gt;2&lt;/span&gt;&lt;/p&gt;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class="stat-value-2"&gt;2&lt;/span&gt;&lt;/p&gt;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class="stat-value-2"&gt;0&lt;/span&gt;&lt;/p&gt;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class="stat-value-2"&gt;1&lt;/span&gt;&lt;/p&gt;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class="stat-value-2"&gt;5&lt;/span&gt;&lt;/p&gt;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class="stat-value-2"&gt;1&lt;/span&gt;&lt;/p&gt;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class="stat-value-2"&gt;1&lt;/span&gt;&lt;/p&gt;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class="stat-value-2"&gt;2&lt;/span&gt;&lt;/p&gt;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class="stat-value-2"&gt;1&lt;/span&gt;&lt;/p&gt;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class="stat-value-2"&gt;1&lt;/span&gt;&lt;/p&gt;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class="stat-value-2"&gt;1&lt;/span&gt;&lt;/p&gt;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class="stat-value-2"&gt;1&lt;/span&gt;&lt;/p&gt;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class="stat-value-2"&gt;2&lt;/span&gt;&lt;/p&gt;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class="stat-value-2"&gt;1&lt;/span&gt;&lt;/p&gt;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class="stat-value-2"&gt;1&lt;/span&gt;&lt;/p&gt;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class="stat-value-2"&gt;2&lt;/span&gt;&lt;/p&gt;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class="stat-value-2"&gt;2&lt;/span&gt;&lt;/p&gt;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class="stat-value-2"&gt;1&lt;/span&gt;&lt;/p&gt;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class="stat-value-2"&gt;2&lt;/span&gt;&lt;/p&gt;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class="stat-value-2"&gt;3&lt;/span&gt;&lt;/p&gt;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class="stat-value-2"&gt;1&lt;/span&gt;&lt;/p&gt;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class="stat-value-2"&gt;1&lt;/span&gt;&lt;/p&gt;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class="stat-value-2"&gt;1&lt;/span&gt;&lt;/p&gt;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class="stat-value-2"&gt;2&lt;/span&gt;&lt;/p&gt;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class="stat-value-2"&gt;2&lt;/span&gt;&lt;/p&gt;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class="stat-value-2"&gt;2&lt;/span&gt;&lt;/p&gt;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class="stat-value-2"&gt;3&lt;/span&gt;&lt;/p&gt;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class="stat-value-2"&gt;1&lt;/span&gt;&lt;/p&gt;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class="stat-value-2"&gt;10&lt;/span&gt;&lt;/p&gt;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class="stat-value-2"&gt;17&lt;/span&gt;&lt;/p&gt;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class="stat-value-2"&gt;29&lt;/span&gt;&lt;/p&gt;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class="stat-value-2"&gt;0&lt;/span&gt;&lt;/p&gt;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class="stat-value-2"&gt;21&lt;/span&gt;&lt;/p&gt;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class="stat-value-2"&gt;2&lt;/span&gt;&lt;/p&gt;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class="stat-value-2"&gt;20&lt;/span&gt;&lt;/p&gt;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class="stat-value-2"&gt;16&lt;/span&gt;&lt;/p&gt;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class="stat-value-2"&gt;18&lt;/span&gt;&lt;/p&gt;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class="stat-value-2"&gt;6&lt;/span&gt;&lt;/p&gt;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class="stat-value-2"&gt;9&lt;/span&gt;&lt;/p&gt;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class="stat-value-2"&gt;9&lt;/span&gt;&lt;/p&gt;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class="stat-value-2"&gt;9&lt;/span&gt;&lt;/p&gt;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class="stat-value-2"&gt;11&lt;/span&gt;&lt;/p&gt;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class="stat-value-2"&gt;7&lt;/span&gt;&lt;/p&gt;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class="stat-value-2"&gt;2&lt;/span&gt;&lt;/p&gt;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class="stat-value-2"&gt;0.13&lt;/span&gt;&lt;/p&gt;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class="stat-value-2"&gt;0.19&lt;/span&gt;&lt;/p&gt;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class="stat-value-2"&gt;0.35&lt;/span&gt;&lt;/p&gt;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class="stat-value-2"&gt;0.23&lt;/span&gt;&lt;/p&gt;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class="stat-value-2"&gt;0.12&lt;/span&gt;&lt;/p&gt;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class="stat-value-2"&gt;0.24&lt;/span&gt;&lt;/p&gt;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class="stat-value-2"&gt;0.22&lt;/span&gt;&lt;/p&gt;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class="stat-value-2"&gt;0.25&lt;/span&gt;&lt;/p&gt;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class="stat-value-2"&gt;0.12&lt;/span&gt;&lt;/p&gt;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class="stat-value-2"&gt;0.38&lt;/span&gt;&lt;/p&gt;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class="stat-value-2"&gt;0.12&lt;/span&gt;&lt;/p&gt;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class="stat-value-2"&gt;0.16&lt;/span&gt;&lt;/p&gt;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class="stat-value-2"&gt;0.19&lt;/span&gt;&lt;/p&gt;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class="stat-value-2"&gt;0.17&lt;/span&gt;&lt;/p&gt;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class="stat-value-2"&gt;2&lt;/span&gt;&lt;/p&gt;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class="stat-value-2"&gt;0&lt;/span&gt;&lt;/p&gt;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class="stat-value-2"&gt;7&lt;/span&gt;&lt;/p&gt;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class="stat-value-2"&gt;0&lt;/span&gt;&lt;/p&gt;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class="stat-value-2"&gt;1&lt;/span&gt;&lt;/p&gt;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class="stat-value-2"&gt;4&lt;/span&gt;&lt;/p&gt;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class="stat-value-2"&gt;2&lt;/span&gt;&lt;/p&gt;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class="stat-value-2"&gt;3&lt;/span&gt;&lt;/p&gt;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class="stat-value-2"&gt;1&lt;/span&gt;&lt;/p&gt;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class="stat-value-2"&gt;0&lt;/span&gt;&lt;/p&gt;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class="stat-value-2"&gt;1&lt;/span&gt;&lt;/p&gt;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class="stat-value-2"&gt;0&lt;/span&gt;&lt;/p&gt;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class="stat-value-2"&gt;3&lt;/span&gt;&lt;/p&gt;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class="stat-value-2"&gt;1&lt;/span&gt;&lt;/p&gt;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class="stat-value-2"&gt;5&lt;/span&gt;&lt;/p&gt;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class="stat-value-2"&gt;6&lt;/span&gt;&lt;/p&gt;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class="stat-value-2"&gt;7&lt;/span&gt;&lt;/p&gt;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class="stat-value-2"&gt;1&lt;/span&gt;&lt;/p&gt;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class="stat-value-2"&gt;5&lt;/span&gt;&lt;/p&gt;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class="stat-value-2"&gt;2&lt;/span&gt;&lt;/p&gt;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class="stat-value-2"&gt;5&lt;/span&gt;&lt;/p&gt;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class="stat-value-2"&gt;0&lt;/span&gt;&lt;/p&gt;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class="stat-value-2"&gt;1&lt;/span&gt;&lt;/p&gt;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class="stat-value-2"&gt;2&lt;/span&gt;&lt;/p&gt;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class="stat-value-2"&gt;3&lt;/span&gt;&lt;/p&gt;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class="stat-value-2"&gt;3&lt;/span&gt;&lt;/p&gt;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class="stat-value-2"&gt;2&lt;/span&gt;&lt;/p&gt;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class="stat-value-2"&gt;2&lt;/span&gt;&lt;/p&gt;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class="stat-value-2"&gt;2&lt;/span&gt;&lt;/p&gt;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class="stat-value-2"&gt;3&lt;/span&gt;&lt;/p&gt;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class="stat-value-2"&gt;5&lt;/span&gt;&lt;/p&gt;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class="stat-value-2"&gt;2&lt;/span&gt;&lt;/p&gt;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class="stat-value-2"&gt;2&lt;/span&gt;&lt;/p&gt;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class="stat-value-2"&gt;1&lt;/span&gt;&lt;/p&gt;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class="stat-value-2"&gt;4&lt;/span&gt;&lt;/p&gt;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class="stat-value-2"&gt;1&lt;/span&gt;&lt;/p&gt;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class="stat-value-2"&gt;2&lt;/span&gt;&lt;/p&gt;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class="stat-value-2"&gt;2&lt;/span&gt;&lt;/p&gt;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class="stat-value-2"&gt;0&lt;/span&gt;&lt;/p&gt;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class="stat-value-2"&gt;0&lt;/span&gt;&lt;/p&gt;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class="stat-value-2"&gt;0&lt;/span&gt;&lt;/p&gt;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class="stat-value-2"&gt;1&lt;/span&gt;&lt;/p&gt;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class="stat-value-2"&gt;2&lt;/span&gt;&lt;/p&gt;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class="stat-value-2"&gt;1&lt;/span&gt;&lt;/p&gt;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class="stat-value-2"&gt;2&lt;/span&gt;&lt;/p&gt;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class="stat-value-2"&gt;1&lt;/span&gt;&lt;/p&gt;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class="stat-value-2"&gt;2&lt;/span&gt;&lt;/p&gt;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class="stat-value-2"&gt;0&lt;/span&gt;&lt;/p&gt;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class="stat-value-2"&gt;1&lt;/span&gt;&lt;/p&gt;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class="stat-value-2"&gt;1&lt;/span&gt;&lt;/p&gt;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class="stat-value-2"&gt;3&lt;/span&gt;&lt;/p&gt;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class="stat-value-2"&gt;0&lt;/span&gt;&lt;/p&gt;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class="stat-value-2"&gt;0&lt;/span&gt;&lt;/p&gt;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class="stat-value-2"&gt;1&lt;/span&gt;&lt;/p&gt;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class="stat-value-2"&gt;0&lt;/span&gt;&lt;/p&gt;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class="stat-value-2"&gt;4&lt;/span&gt;&lt;/p&gt;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class="stat-value-2"&gt;4&lt;/span&gt;&lt;/p&gt;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class="stat-value-2"&gt;5&lt;/span&gt;&lt;/p&gt;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class="stat-value-2"&gt;2&lt;/span&gt;&lt;/p&gt;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class="stat-value-2"&gt;5&lt;/span&gt;&lt;/p&gt;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class="stat-value-2"&gt;4&lt;/span&gt;&lt;/p&gt;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class="stat-value-2"&gt;1&lt;/span&gt;&lt;/p&gt;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class="stat-value-2"&gt;1&lt;/span&gt;&lt;/p&gt;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class="stat-value-2"&gt;5&lt;/span&gt;&lt;/p&gt;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class="stat-value-2"&gt;3&lt;/span&gt;&lt;/p&gt;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class="stat-value-2"&gt;6&lt;/span&gt;&lt;/p&gt;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class="stat-value-2"&gt;0&lt;/span&gt;&lt;/p&gt;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class="stat-value-2"&gt;3&lt;/span&gt;&lt;/p&gt;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class="stat-value-2"&gt;1&lt;/span&gt;&lt;/p&gt;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class="stat-value-2"&gt;3&lt;/span&gt;&lt;/p&gt;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class="stat-value-2"&gt;3&lt;/span&gt;&lt;/p&gt;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class="stat-value-2"&gt;4&lt;/span&gt;&lt;/p&gt;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class="stat-value-2"&gt;2&lt;/span&gt;&lt;/p&gt;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class="stat-value-2"&gt;3&lt;/span&gt;&lt;/p&gt;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class="stat-value-2"&gt;5&lt;/span&gt;&lt;/p&gt;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class="stat-value-2"&gt;5&lt;/span&gt;&lt;/p&gt;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class="stat-value-2"&gt;5&lt;/span&gt;&lt;/p&gt;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class="stat-value-2"&gt;1&lt;/span&gt;&lt;/p&gt;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D73C-3898-4B6D-B631-9B08D5CA3BE8}">
  <dimension ref="A1:AT157"/>
  <sheetViews>
    <sheetView topLeftCell="A100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33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 s="1">
        <f>IFERROR(N2/B2,0)</f>
        <v>9.0909090909090912E-2</v>
      </c>
      <c r="P2">
        <v>3</v>
      </c>
      <c r="Q2">
        <v>2</v>
      </c>
      <c r="R2">
        <v>2</v>
      </c>
      <c r="S2">
        <v>0</v>
      </c>
      <c r="T2">
        <v>0</v>
      </c>
      <c r="U2">
        <v>0</v>
      </c>
      <c r="V2">
        <v>2</v>
      </c>
      <c r="W2">
        <v>2</v>
      </c>
      <c r="X2">
        <v>11</v>
      </c>
      <c r="Y2" s="1">
        <f>IFERROR(X2/B2,0)</f>
        <v>0.33333333333333331</v>
      </c>
      <c r="Z2">
        <v>14</v>
      </c>
      <c r="AA2" s="1">
        <f>IFERROR(Z2/B2,0)</f>
        <v>0.42424242424242425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33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0.09&lt;/td&gt;&lt;td&gt;14&lt;/td&gt;&lt;td&gt;0.42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33&lt;/td&gt;&lt;td&gt;3&lt;/td&gt;&lt;td&gt;2&lt;/td&gt;&lt;td&gt;2&lt;/td&gt;&lt;td&gt;0&lt;/td&gt;&lt;td&gt;0&lt;/td&gt;&lt;td&gt;0&lt;/td&gt;&lt;td&gt;2&lt;/td&gt;&lt;td&gt;2&lt;/td&gt;&lt;td&gt;11&lt;/td&gt;&lt;td&gt;0.33&lt;/td&gt;&lt;td&gt;14&lt;/td&gt;&lt;td&gt;0.42&lt;/td&gt;&lt;/tr&gt;</v>
      </c>
    </row>
    <row r="3" spans="1:46" x14ac:dyDescent="0.3">
      <c r="A3" t="s">
        <v>26</v>
      </c>
      <c r="B3">
        <v>29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4</v>
      </c>
      <c r="O3" s="1">
        <f t="shared" ref="O3:O24" si="0">IFERROR(N3/B3,0)</f>
        <v>0.13793103448275862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3</v>
      </c>
      <c r="Y3" s="1">
        <f t="shared" ref="Y3:Y24" si="1">IFERROR(X3/B3,0)</f>
        <v>0.10344827586206896</v>
      </c>
      <c r="Z3">
        <v>7</v>
      </c>
      <c r="AA3" s="1">
        <f t="shared" ref="AA3:AA24" si="2">IFERROR(Z3/B3,0)</f>
        <v>0.2413793103448276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29&lt;/td&gt;&lt;td&gt;0&lt;/td&gt;&lt;td&gt;0&lt;/td&gt;&lt;td&gt;0&lt;/td&gt;&lt;td&gt;1&lt;/td&gt;&lt;td&gt;0&lt;/td&gt;&lt;td&gt;1&lt;/td&gt;&lt;td&gt;0&lt;/td&gt;&lt;td&gt;1&lt;/td&gt;&lt;td&gt;0&lt;/td&gt;&lt;td&gt;1&lt;/td&gt;&lt;td&gt;0&lt;/td&gt;&lt;td&gt;4&lt;/td&gt;&lt;td&gt;0.14&lt;/td&gt;&lt;td&gt;7&lt;/td&gt;&lt;td&gt;0.24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29&lt;/td&gt;&lt;td&gt;0&lt;/td&gt;&lt;td&gt;1&lt;/td&gt;&lt;td&gt;0&lt;/td&gt;&lt;td&gt;0&lt;/td&gt;&lt;td&gt;0&lt;/td&gt;&lt;td&gt;0&lt;/td&gt;&lt;td&gt;0&lt;/td&gt;&lt;td&gt;2&lt;/td&gt;&lt;td&gt;3&lt;/td&gt;&lt;td&gt;0.10&lt;/td&gt;&lt;td&gt;7&lt;/td&gt;&lt;td&gt;0.24&lt;/td&gt;&lt;/tr&gt;</v>
      </c>
    </row>
    <row r="4" spans="1:46" x14ac:dyDescent="0.3">
      <c r="A4" t="s">
        <v>27</v>
      </c>
      <c r="B4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4</v>
      </c>
      <c r="K4">
        <v>3</v>
      </c>
      <c r="L4">
        <v>0</v>
      </c>
      <c r="M4">
        <v>0</v>
      </c>
      <c r="N4">
        <v>8</v>
      </c>
      <c r="O4" s="1">
        <f t="shared" si="0"/>
        <v>0.12698412698412698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4</v>
      </c>
      <c r="X4">
        <v>6</v>
      </c>
      <c r="Y4" s="1">
        <f t="shared" si="1"/>
        <v>9.5238095238095233E-2</v>
      </c>
      <c r="Z4">
        <v>14</v>
      </c>
      <c r="AA4" s="1">
        <f t="shared" si="2"/>
        <v>0.22222222222222221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63&lt;/td&gt;&lt;td&gt;0&lt;/td&gt;&lt;td&gt;0&lt;/td&gt;&lt;td&gt;0&lt;/td&gt;&lt;td&gt;0&lt;/td&gt;&lt;td&gt;0&lt;/td&gt;&lt;td&gt;1&lt;/td&gt;&lt;td&gt;0&lt;/td&gt;&lt;td&gt;4&lt;/td&gt;&lt;td&gt;3&lt;/td&gt;&lt;td&gt;0&lt;/td&gt;&lt;td&gt;0&lt;/td&gt;&lt;td&gt;8&lt;/td&gt;&lt;td&gt;0.13&lt;/td&gt;&lt;td&gt;14&lt;/td&gt;&lt;td&gt;0.22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63&lt;/td&gt;&lt;td&gt;0&lt;/td&gt;&lt;td&gt;0&lt;/td&gt;&lt;td&gt;0&lt;/td&gt;&lt;td&gt;0&lt;/td&gt;&lt;td&gt;0&lt;/td&gt;&lt;td&gt;0&lt;/td&gt;&lt;td&gt;2&lt;/td&gt;&lt;td&gt;4&lt;/td&gt;&lt;td&gt;6&lt;/td&gt;&lt;td&gt;0.10&lt;/td&gt;&lt;td&gt;14&lt;/td&gt;&lt;td&gt;0.22&lt;/td&gt;&lt;/tr&gt;</v>
      </c>
    </row>
    <row r="5" spans="1:46" x14ac:dyDescent="0.3">
      <c r="A5" t="s">
        <v>28</v>
      </c>
      <c r="B5">
        <v>39</v>
      </c>
      <c r="C5">
        <v>1</v>
      </c>
      <c r="D5">
        <v>0</v>
      </c>
      <c r="E5">
        <v>0</v>
      </c>
      <c r="F5">
        <v>1</v>
      </c>
      <c r="G5">
        <v>0</v>
      </c>
      <c r="H5">
        <v>2</v>
      </c>
      <c r="I5">
        <v>1</v>
      </c>
      <c r="J5">
        <v>1</v>
      </c>
      <c r="K5">
        <v>0</v>
      </c>
      <c r="L5">
        <v>1</v>
      </c>
      <c r="M5">
        <v>3</v>
      </c>
      <c r="N5">
        <v>10</v>
      </c>
      <c r="O5" s="1">
        <f t="shared" si="0"/>
        <v>0.25641025641025639</v>
      </c>
      <c r="P5">
        <v>0</v>
      </c>
      <c r="Q5">
        <v>1</v>
      </c>
      <c r="R5">
        <v>1</v>
      </c>
      <c r="S5">
        <v>0</v>
      </c>
      <c r="T5">
        <v>0</v>
      </c>
      <c r="U5">
        <v>2</v>
      </c>
      <c r="V5">
        <v>2</v>
      </c>
      <c r="W5">
        <v>4</v>
      </c>
      <c r="X5">
        <v>10</v>
      </c>
      <c r="Y5" s="1">
        <f t="shared" si="1"/>
        <v>0.25641025641025639</v>
      </c>
      <c r="Z5">
        <v>20</v>
      </c>
      <c r="AA5" s="1">
        <f t="shared" si="2"/>
        <v>0.51282051282051277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39&lt;/td&gt;&lt;td&gt;1&lt;/td&gt;&lt;td&gt;0&lt;/td&gt;&lt;td&gt;0&lt;/td&gt;&lt;td&gt;1&lt;/td&gt;&lt;td&gt;0&lt;/td&gt;&lt;td&gt;2&lt;/td&gt;&lt;td&gt;1&lt;/td&gt;&lt;td&gt;1&lt;/td&gt;&lt;td&gt;0&lt;/td&gt;&lt;td&gt;1&lt;/td&gt;&lt;td&gt;3&lt;/td&gt;&lt;td&gt;10&lt;/td&gt;&lt;td&gt;0.26&lt;/td&gt;&lt;td&gt;20&lt;/td&gt;&lt;td&gt;0.51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39&lt;/td&gt;&lt;td&gt;0&lt;/td&gt;&lt;td&gt;1&lt;/td&gt;&lt;td&gt;1&lt;/td&gt;&lt;td&gt;0&lt;/td&gt;&lt;td&gt;0&lt;/td&gt;&lt;td&gt;2&lt;/td&gt;&lt;td&gt;2&lt;/td&gt;&lt;td&gt;4&lt;/td&gt;&lt;td&gt;10&lt;/td&gt;&lt;td&gt;0.26&lt;/td&gt;&lt;td&gt;20&lt;/td&gt;&lt;td&gt;0.51&lt;/td&gt;&lt;/tr&gt;</v>
      </c>
    </row>
    <row r="6" spans="1:46" x14ac:dyDescent="0.3">
      <c r="A6" t="s">
        <v>29</v>
      </c>
      <c r="B6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1</v>
      </c>
      <c r="K6">
        <v>1</v>
      </c>
      <c r="L6">
        <v>0</v>
      </c>
      <c r="M6">
        <v>0</v>
      </c>
      <c r="N6">
        <v>4</v>
      </c>
      <c r="O6" s="1">
        <f t="shared" si="0"/>
        <v>0.15384615384615385</v>
      </c>
      <c r="P6">
        <v>0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4</v>
      </c>
      <c r="X6">
        <v>7</v>
      </c>
      <c r="Y6" s="1">
        <f t="shared" si="1"/>
        <v>0.26923076923076922</v>
      </c>
      <c r="Z6">
        <v>11</v>
      </c>
      <c r="AA6" s="1">
        <f t="shared" si="2"/>
        <v>0.42307692307692307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26&lt;/td&gt;&lt;td&gt;0&lt;/td&gt;&lt;td&gt;0&lt;/td&gt;&lt;td&gt;0&lt;/td&gt;&lt;td&gt;0&lt;/td&gt;&lt;td&gt;0&lt;/td&gt;&lt;td&gt;0&lt;/td&gt;&lt;td&gt;2&lt;/td&gt;&lt;td&gt;1&lt;/td&gt;&lt;td&gt;1&lt;/td&gt;&lt;td&gt;0&lt;/td&gt;&lt;td&gt;0&lt;/td&gt;&lt;td&gt;4&lt;/td&gt;&lt;td&gt;0.15&lt;/td&gt;&lt;td&gt;11&lt;/td&gt;&lt;td&gt;0.42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26&lt;/td&gt;&lt;td&gt;0&lt;/td&gt;&lt;td&gt;1&lt;/td&gt;&lt;td&gt;1&lt;/td&gt;&lt;td&gt;0&lt;/td&gt;&lt;td&gt;0&lt;/td&gt;&lt;td&gt;1&lt;/td&gt;&lt;td&gt;0&lt;/td&gt;&lt;td&gt;4&lt;/td&gt;&lt;td&gt;7&lt;/td&gt;&lt;td&gt;0.27&lt;/td&gt;&lt;td&gt;11&lt;/td&gt;&lt;td&gt;0.42&lt;/td&gt;&lt;/tr&gt;</v>
      </c>
    </row>
    <row r="7" spans="1:46" x14ac:dyDescent="0.3">
      <c r="A7" t="s">
        <v>30</v>
      </c>
      <c r="B7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2</v>
      </c>
      <c r="J7">
        <v>1</v>
      </c>
      <c r="K7">
        <v>0</v>
      </c>
      <c r="L7">
        <v>2</v>
      </c>
      <c r="M7">
        <v>0</v>
      </c>
      <c r="N7">
        <v>7</v>
      </c>
      <c r="O7" s="1">
        <f t="shared" si="0"/>
        <v>8.4337349397590355E-2</v>
      </c>
      <c r="P7">
        <v>2</v>
      </c>
      <c r="Q7">
        <v>2</v>
      </c>
      <c r="R7">
        <v>4</v>
      </c>
      <c r="S7">
        <v>0</v>
      </c>
      <c r="T7">
        <v>0</v>
      </c>
      <c r="U7">
        <v>0</v>
      </c>
      <c r="V7">
        <v>7</v>
      </c>
      <c r="W7">
        <v>9</v>
      </c>
      <c r="X7">
        <v>24</v>
      </c>
      <c r="Y7" s="1">
        <f t="shared" si="1"/>
        <v>0.28915662650602408</v>
      </c>
      <c r="Z7">
        <v>31</v>
      </c>
      <c r="AA7" s="1">
        <f t="shared" si="2"/>
        <v>0.37349397590361444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83&lt;/td&gt;&lt;td&gt;0&lt;/td&gt;&lt;td&gt;0&lt;/td&gt;&lt;td&gt;0&lt;/td&gt;&lt;td&gt;0&lt;/td&gt;&lt;td&gt;0&lt;/td&gt;&lt;td&gt;2&lt;/td&gt;&lt;td&gt;2&lt;/td&gt;&lt;td&gt;1&lt;/td&gt;&lt;td&gt;0&lt;/td&gt;&lt;td&gt;2&lt;/td&gt;&lt;td&gt;0&lt;/td&gt;&lt;td&gt;7&lt;/td&gt;&lt;td&gt;0.08&lt;/td&gt;&lt;td&gt;31&lt;/td&gt;&lt;td&gt;0.37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83&lt;/td&gt;&lt;td&gt;2&lt;/td&gt;&lt;td&gt;2&lt;/td&gt;&lt;td&gt;4&lt;/td&gt;&lt;td&gt;0&lt;/td&gt;&lt;td&gt;0&lt;/td&gt;&lt;td&gt;0&lt;/td&gt;&lt;td&gt;7&lt;/td&gt;&lt;td&gt;9&lt;/td&gt;&lt;td&gt;24&lt;/td&gt;&lt;td&gt;0.29&lt;/td&gt;&lt;td&gt;31&lt;/td&gt;&lt;td&gt;0.37&lt;/td&gt;&lt;/tr&gt;</v>
      </c>
    </row>
    <row r="8" spans="1:46" x14ac:dyDescent="0.3">
      <c r="A8" t="s">
        <v>31</v>
      </c>
      <c r="B8">
        <v>18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2</v>
      </c>
      <c r="J8">
        <v>0</v>
      </c>
      <c r="K8">
        <v>0</v>
      </c>
      <c r="L8">
        <v>1</v>
      </c>
      <c r="M8">
        <v>1</v>
      </c>
      <c r="N8">
        <v>6</v>
      </c>
      <c r="O8" s="1">
        <f t="shared" si="0"/>
        <v>0.33333333333333331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3</v>
      </c>
      <c r="Y8" s="1">
        <f t="shared" si="1"/>
        <v>0.16666666666666666</v>
      </c>
      <c r="Z8">
        <v>9</v>
      </c>
      <c r="AA8" s="1">
        <f t="shared" si="2"/>
        <v>0.5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18&lt;/td&gt;&lt;td&gt;0&lt;/td&gt;&lt;td&gt;0&lt;/td&gt;&lt;td&gt;0&lt;/td&gt;&lt;td&gt;2&lt;/td&gt;&lt;td&gt;0&lt;/td&gt;&lt;td&gt;0&lt;/td&gt;&lt;td&gt;2&lt;/td&gt;&lt;td&gt;0&lt;/td&gt;&lt;td&gt;0&lt;/td&gt;&lt;td&gt;1&lt;/td&gt;&lt;td&gt;1&lt;/td&gt;&lt;td&gt;6&lt;/td&gt;&lt;td&gt;0.33&lt;/td&gt;&lt;td&gt;9&lt;/td&gt;&lt;td&gt;0.50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18&lt;/td&gt;&lt;td&gt;0&lt;/td&gt;&lt;td&gt;1&lt;/td&gt;&lt;td&gt;1&lt;/td&gt;&lt;td&gt;0&lt;/td&gt;&lt;td&gt;0&lt;/td&gt;&lt;td&gt;0&lt;/td&gt;&lt;td&gt;0&lt;/td&gt;&lt;td&gt;1&lt;/td&gt;&lt;td&gt;3&lt;/td&gt;&lt;td&gt;0.17&lt;/td&gt;&lt;td&gt;9&lt;/td&gt;&lt;td&gt;0.50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59</v>
      </c>
      <c r="C10">
        <v>0</v>
      </c>
      <c r="D10">
        <v>1</v>
      </c>
      <c r="E10">
        <v>0</v>
      </c>
      <c r="F10">
        <v>2</v>
      </c>
      <c r="G10">
        <v>0</v>
      </c>
      <c r="H10">
        <v>0</v>
      </c>
      <c r="I10">
        <v>2</v>
      </c>
      <c r="J10">
        <v>1</v>
      </c>
      <c r="K10">
        <v>0</v>
      </c>
      <c r="L10">
        <v>3</v>
      </c>
      <c r="M10">
        <v>0</v>
      </c>
      <c r="N10">
        <v>9</v>
      </c>
      <c r="O10" s="1">
        <f t="shared" si="0"/>
        <v>0.15254237288135594</v>
      </c>
      <c r="P10">
        <v>5</v>
      </c>
      <c r="Q10">
        <v>4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12</v>
      </c>
      <c r="Y10" s="1">
        <f t="shared" si="1"/>
        <v>0.20338983050847459</v>
      </c>
      <c r="Z10">
        <v>21</v>
      </c>
      <c r="AA10" s="1">
        <f t="shared" si="2"/>
        <v>0.3559322033898305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59&lt;/td&gt;&lt;td&gt;0&lt;/td&gt;&lt;td&gt;1&lt;/td&gt;&lt;td&gt;0&lt;/td&gt;&lt;td&gt;2&lt;/td&gt;&lt;td&gt;0&lt;/td&gt;&lt;td&gt;0&lt;/td&gt;&lt;td&gt;2&lt;/td&gt;&lt;td&gt;1&lt;/td&gt;&lt;td&gt;0&lt;/td&gt;&lt;td&gt;3&lt;/td&gt;&lt;td&gt;0&lt;/td&gt;&lt;td&gt;9&lt;/td&gt;&lt;td&gt;0.15&lt;/td&gt;&lt;td&gt;21&lt;/td&gt;&lt;td&gt;0.36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59&lt;/td&gt;&lt;td&gt;5&lt;/td&gt;&lt;td&gt;4&lt;/td&gt;&lt;td&gt;0&lt;/td&gt;&lt;td&gt;0&lt;/td&gt;&lt;td&gt;0&lt;/td&gt;&lt;td&gt;1&lt;/td&gt;&lt;td&gt;1&lt;/td&gt;&lt;td&gt;1&lt;/td&gt;&lt;td&gt;12&lt;/td&gt;&lt;td&gt;0.20&lt;/td&gt;&lt;td&gt;21&lt;/td&gt;&lt;td&gt;0.36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f t="shared" si="0"/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f t="shared" si="1"/>
        <v>0</v>
      </c>
      <c r="Z12"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3" spans="1:46" x14ac:dyDescent="0.3">
      <c r="A13" t="s">
        <v>36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11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11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62</v>
      </c>
      <c r="C14">
        <v>0</v>
      </c>
      <c r="D14">
        <v>0</v>
      </c>
      <c r="E14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v>1</v>
      </c>
      <c r="L14">
        <v>0</v>
      </c>
      <c r="M14">
        <v>1</v>
      </c>
      <c r="N14">
        <v>5</v>
      </c>
      <c r="O14" s="1">
        <f t="shared" si="0"/>
        <v>8.0645161290322578E-2</v>
      </c>
      <c r="P14">
        <v>0</v>
      </c>
      <c r="Q14">
        <v>5</v>
      </c>
      <c r="R14">
        <v>4</v>
      </c>
      <c r="S14">
        <v>0</v>
      </c>
      <c r="T14">
        <v>0</v>
      </c>
      <c r="U14">
        <v>0</v>
      </c>
      <c r="V14">
        <v>1</v>
      </c>
      <c r="W14">
        <v>7</v>
      </c>
      <c r="X14">
        <v>17</v>
      </c>
      <c r="Y14" s="1">
        <f t="shared" si="1"/>
        <v>0.27419354838709675</v>
      </c>
      <c r="Z14">
        <v>22</v>
      </c>
      <c r="AA14" s="1">
        <f t="shared" si="2"/>
        <v>0.35483870967741937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62&lt;/td&gt;&lt;td&gt;0&lt;/td&gt;&lt;td&gt;0&lt;/td&gt;&lt;td&gt;0&lt;/td&gt;&lt;td&gt;1&lt;/td&gt;&lt;td&gt;0&lt;/td&gt;&lt;td&gt;2&lt;/td&gt;&lt;td&gt;0&lt;/td&gt;&lt;td&gt;0&lt;/td&gt;&lt;td&gt;1&lt;/td&gt;&lt;td&gt;0&lt;/td&gt;&lt;td&gt;1&lt;/td&gt;&lt;td&gt;5&lt;/td&gt;&lt;td&gt;0.08&lt;/td&gt;&lt;td&gt;22&lt;/td&gt;&lt;td&gt;0.35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62&lt;/td&gt;&lt;td&gt;0&lt;/td&gt;&lt;td&gt;5&lt;/td&gt;&lt;td&gt;4&lt;/td&gt;&lt;td&gt;0&lt;/td&gt;&lt;td&gt;0&lt;/td&gt;&lt;td&gt;0&lt;/td&gt;&lt;td&gt;1&lt;/td&gt;&lt;td&gt;7&lt;/td&gt;&lt;td&gt;17&lt;/td&gt;&lt;td&gt;0.27&lt;/td&gt;&lt;td&gt;22&lt;/td&gt;&lt;td&gt;0.35&lt;/td&gt;&lt;/tr&gt;</v>
      </c>
    </row>
    <row r="15" spans="1:46" x14ac:dyDescent="0.3">
      <c r="A15" t="s">
        <v>38</v>
      </c>
      <c r="B15">
        <v>76</v>
      </c>
      <c r="C15">
        <v>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7</v>
      </c>
      <c r="O15" s="1">
        <f t="shared" si="0"/>
        <v>9.2105263157894732E-2</v>
      </c>
      <c r="P15">
        <v>1</v>
      </c>
      <c r="Q15">
        <v>4</v>
      </c>
      <c r="R15">
        <v>3</v>
      </c>
      <c r="S15">
        <v>0</v>
      </c>
      <c r="T15">
        <v>1</v>
      </c>
      <c r="U15">
        <v>1</v>
      </c>
      <c r="V15">
        <v>1</v>
      </c>
      <c r="W15">
        <v>1</v>
      </c>
      <c r="X15">
        <v>12</v>
      </c>
      <c r="Y15" s="1">
        <f t="shared" si="1"/>
        <v>0.15789473684210525</v>
      </c>
      <c r="Z15">
        <v>19</v>
      </c>
      <c r="AA15" s="1">
        <f t="shared" si="2"/>
        <v>0.25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76&lt;/td&gt;&lt;td&gt;0&lt;/td&gt;&lt;td&gt;0&lt;/td&gt;&lt;td&gt;0&lt;/td&gt;&lt;td&gt;5&lt;/td&gt;&lt;td&gt;0&lt;/td&gt;&lt;td&gt;1&lt;/td&gt;&lt;td&gt;1&lt;/td&gt;&lt;td&gt;0&lt;/td&gt;&lt;td&gt;0&lt;/td&gt;&lt;td&gt;0&lt;/td&gt;&lt;td&gt;0&lt;/td&gt;&lt;td&gt;7&lt;/td&gt;&lt;td&gt;0.09&lt;/td&gt;&lt;td&gt;19&lt;/td&gt;&lt;td&gt;0.25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76&lt;/td&gt;&lt;td&gt;1&lt;/td&gt;&lt;td&gt;4&lt;/td&gt;&lt;td&gt;3&lt;/td&gt;&lt;td&gt;0&lt;/td&gt;&lt;td&gt;1&lt;/td&gt;&lt;td&gt;1&lt;/td&gt;&lt;td&gt;1&lt;/td&gt;&lt;td&gt;1&lt;/td&gt;&lt;td&gt;12&lt;/td&gt;&lt;td&gt;0.16&lt;/td&gt;&lt;td&gt;19&lt;/td&gt;&lt;td&gt;0.25&lt;/td&gt;&lt;/tr&gt;</v>
      </c>
    </row>
    <row r="16" spans="1:46" x14ac:dyDescent="0.3">
      <c r="A16" t="s">
        <v>39</v>
      </c>
      <c r="B16">
        <v>46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2</v>
      </c>
      <c r="J16">
        <v>2</v>
      </c>
      <c r="K16">
        <v>1</v>
      </c>
      <c r="L16">
        <v>0</v>
      </c>
      <c r="M16">
        <v>1</v>
      </c>
      <c r="N16">
        <v>9</v>
      </c>
      <c r="O16" s="1">
        <f t="shared" si="0"/>
        <v>0.19565217391304349</v>
      </c>
      <c r="P16">
        <v>1</v>
      </c>
      <c r="Q16">
        <v>0</v>
      </c>
      <c r="R16">
        <v>2</v>
      </c>
      <c r="S16">
        <v>0</v>
      </c>
      <c r="T16">
        <v>0</v>
      </c>
      <c r="U16">
        <v>1</v>
      </c>
      <c r="V16">
        <v>0</v>
      </c>
      <c r="W16">
        <v>1</v>
      </c>
      <c r="X16">
        <v>5</v>
      </c>
      <c r="Y16" s="1">
        <f t="shared" si="1"/>
        <v>0.10869565217391304</v>
      </c>
      <c r="Z16">
        <v>14</v>
      </c>
      <c r="AA16" s="1">
        <f t="shared" si="2"/>
        <v>0.30434782608695654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46&lt;/td&gt;&lt;td&gt;0&lt;/td&gt;&lt;td&gt;0&lt;/td&gt;&lt;td&gt;1&lt;/td&gt;&lt;td&gt;1&lt;/td&gt;&lt;td&gt;0&lt;/td&gt;&lt;td&gt;1&lt;/td&gt;&lt;td&gt;2&lt;/td&gt;&lt;td&gt;2&lt;/td&gt;&lt;td&gt;1&lt;/td&gt;&lt;td&gt;0&lt;/td&gt;&lt;td&gt;1&lt;/td&gt;&lt;td&gt;9&lt;/td&gt;&lt;td&gt;0.20&lt;/td&gt;&lt;td&gt;14&lt;/td&gt;&lt;td&gt;0.30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46&lt;/td&gt;&lt;td&gt;1&lt;/td&gt;&lt;td&gt;0&lt;/td&gt;&lt;td&gt;2&lt;/td&gt;&lt;td&gt;0&lt;/td&gt;&lt;td&gt;0&lt;/td&gt;&lt;td&gt;1&lt;/td&gt;&lt;td&gt;0&lt;/td&gt;&lt;td&gt;1&lt;/td&gt;&lt;td&gt;5&lt;/td&gt;&lt;td&gt;0.11&lt;/td&gt;&lt;td&gt;14&lt;/td&gt;&lt;td&gt;0.30&lt;/td&gt;&lt;/tr&gt;</v>
      </c>
    </row>
    <row r="17" spans="1:46" x14ac:dyDescent="0.3">
      <c r="A17" t="s">
        <v>40</v>
      </c>
      <c r="B17">
        <v>65</v>
      </c>
      <c r="C17">
        <v>0</v>
      </c>
      <c r="D17">
        <v>0</v>
      </c>
      <c r="E17">
        <v>0</v>
      </c>
      <c r="F17">
        <v>5</v>
      </c>
      <c r="G17">
        <v>0</v>
      </c>
      <c r="H17">
        <v>2</v>
      </c>
      <c r="I17">
        <v>1</v>
      </c>
      <c r="J17">
        <v>1</v>
      </c>
      <c r="K17">
        <v>1</v>
      </c>
      <c r="L17">
        <v>3</v>
      </c>
      <c r="M17">
        <v>1</v>
      </c>
      <c r="N17">
        <v>14</v>
      </c>
      <c r="O17" s="1">
        <f t="shared" si="0"/>
        <v>0.2153846153846154</v>
      </c>
      <c r="P17">
        <v>2</v>
      </c>
      <c r="Q17">
        <v>1</v>
      </c>
      <c r="R17">
        <v>4</v>
      </c>
      <c r="S17">
        <v>0</v>
      </c>
      <c r="T17">
        <v>0</v>
      </c>
      <c r="U17">
        <v>2</v>
      </c>
      <c r="V17">
        <v>2</v>
      </c>
      <c r="W17">
        <v>5</v>
      </c>
      <c r="X17">
        <v>16</v>
      </c>
      <c r="Y17" s="1">
        <f t="shared" si="1"/>
        <v>0.24615384615384617</v>
      </c>
      <c r="Z17">
        <v>30</v>
      </c>
      <c r="AA17" s="1">
        <f t="shared" si="2"/>
        <v>0.46153846153846156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65&lt;/td&gt;&lt;td&gt;0&lt;/td&gt;&lt;td&gt;0&lt;/td&gt;&lt;td&gt;0&lt;/td&gt;&lt;td&gt;5&lt;/td&gt;&lt;td&gt;0&lt;/td&gt;&lt;td&gt;2&lt;/td&gt;&lt;td&gt;1&lt;/td&gt;&lt;td&gt;1&lt;/td&gt;&lt;td&gt;1&lt;/td&gt;&lt;td&gt;3&lt;/td&gt;&lt;td&gt;1&lt;/td&gt;&lt;td&gt;14&lt;/td&gt;&lt;td&gt;0.22&lt;/td&gt;&lt;td&gt;30&lt;/td&gt;&lt;td&gt;0.46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65&lt;/td&gt;&lt;td&gt;2&lt;/td&gt;&lt;td&gt;1&lt;/td&gt;&lt;td&gt;4&lt;/td&gt;&lt;td&gt;0&lt;/td&gt;&lt;td&gt;0&lt;/td&gt;&lt;td&gt;2&lt;/td&gt;&lt;td&gt;2&lt;/td&gt;&lt;td&gt;5&lt;/td&gt;&lt;td&gt;16&lt;/td&gt;&lt;td&gt;0.25&lt;/td&gt;&lt;td&gt;30&lt;/td&gt;&lt;td&gt;0.46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58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3</v>
      </c>
      <c r="J19">
        <v>0</v>
      </c>
      <c r="K19">
        <v>1</v>
      </c>
      <c r="L19">
        <v>0</v>
      </c>
      <c r="M19">
        <v>2</v>
      </c>
      <c r="N19">
        <v>10</v>
      </c>
      <c r="O19" s="1">
        <f t="shared" si="0"/>
        <v>0.17241379310344829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4</v>
      </c>
      <c r="Y19" s="1">
        <f t="shared" si="1"/>
        <v>6.8965517241379309E-2</v>
      </c>
      <c r="Z19">
        <v>14</v>
      </c>
      <c r="AA19" s="1">
        <f t="shared" si="2"/>
        <v>0.2413793103448276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58&lt;/td&gt;&lt;td&gt;0&lt;/td&gt;&lt;td&gt;0&lt;/td&gt;&lt;td&gt;0&lt;/td&gt;&lt;td&gt;1&lt;/td&gt;&lt;td&gt;0&lt;/td&gt;&lt;td&gt;1&lt;/td&gt;&lt;td&gt;3&lt;/td&gt;&lt;td&gt;0&lt;/td&gt;&lt;td&gt;1&lt;/td&gt;&lt;td&gt;0&lt;/td&gt;&lt;td&gt;2&lt;/td&gt;&lt;td&gt;10&lt;/td&gt;&lt;td&gt;0.17&lt;/td&gt;&lt;td&gt;14&lt;/td&gt;&lt;td&gt;0.24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58&lt;/td&gt;&lt;td&gt;1&lt;/td&gt;&lt;td&gt;1&lt;/td&gt;&lt;td&gt;0&lt;/td&gt;&lt;td&gt;0&lt;/td&gt;&lt;td&gt;0&lt;/td&gt;&lt;td&gt;0&lt;/td&gt;&lt;td&gt;0&lt;/td&gt;&lt;td&gt;2&lt;/td&gt;&lt;td&gt;4&lt;/td&gt;&lt;td&gt;0.07&lt;/td&gt;&lt;td&gt;14&lt;/td&gt;&lt;td&gt;0.24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68</v>
      </c>
      <c r="C21">
        <v>1</v>
      </c>
      <c r="D21">
        <v>0</v>
      </c>
      <c r="E21">
        <v>0</v>
      </c>
      <c r="F21">
        <v>6</v>
      </c>
      <c r="G21">
        <v>0</v>
      </c>
      <c r="H21">
        <v>0</v>
      </c>
      <c r="I21">
        <v>0</v>
      </c>
      <c r="J21">
        <v>2</v>
      </c>
      <c r="K21">
        <v>1</v>
      </c>
      <c r="L21">
        <v>1</v>
      </c>
      <c r="M21">
        <v>1</v>
      </c>
      <c r="N21">
        <v>12</v>
      </c>
      <c r="O21" s="1">
        <f t="shared" si="0"/>
        <v>0.17647058823529413</v>
      </c>
      <c r="P21">
        <v>7</v>
      </c>
      <c r="Q21">
        <v>3</v>
      </c>
      <c r="R21">
        <v>2</v>
      </c>
      <c r="S21">
        <v>0</v>
      </c>
      <c r="T21">
        <v>1</v>
      </c>
      <c r="U21">
        <v>0</v>
      </c>
      <c r="V21">
        <v>6</v>
      </c>
      <c r="W21">
        <v>4</v>
      </c>
      <c r="X21">
        <v>23</v>
      </c>
      <c r="Y21" s="1">
        <f t="shared" si="1"/>
        <v>0.33823529411764708</v>
      </c>
      <c r="Z21">
        <v>35</v>
      </c>
      <c r="AA21" s="1">
        <f t="shared" si="2"/>
        <v>0.51470588235294112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68&lt;/td&gt;&lt;td&gt;1&lt;/td&gt;&lt;td&gt;0&lt;/td&gt;&lt;td&gt;0&lt;/td&gt;&lt;td&gt;6&lt;/td&gt;&lt;td&gt;0&lt;/td&gt;&lt;td&gt;0&lt;/td&gt;&lt;td&gt;0&lt;/td&gt;&lt;td&gt;2&lt;/td&gt;&lt;td&gt;1&lt;/td&gt;&lt;td&gt;1&lt;/td&gt;&lt;td&gt;1&lt;/td&gt;&lt;td&gt;12&lt;/td&gt;&lt;td&gt;0.18&lt;/td&gt;&lt;td&gt;35&lt;/td&gt;&lt;td&gt;0.51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68&lt;/td&gt;&lt;td&gt;7&lt;/td&gt;&lt;td&gt;3&lt;/td&gt;&lt;td&gt;2&lt;/td&gt;&lt;td&gt;0&lt;/td&gt;&lt;td&gt;1&lt;/td&gt;&lt;td&gt;0&lt;/td&gt;&lt;td&gt;6&lt;/td&gt;&lt;td&gt;4&lt;/td&gt;&lt;td&gt;23&lt;/td&gt;&lt;td&gt;0.34&lt;/td&gt;&lt;td&gt;35&lt;/td&gt;&lt;td&gt;0.51&lt;/td&gt;&lt;/tr&gt;</v>
      </c>
    </row>
    <row r="22" spans="1:46" x14ac:dyDescent="0.3">
      <c r="A22" t="s">
        <v>45</v>
      </c>
      <c r="B22">
        <v>84</v>
      </c>
      <c r="C22">
        <v>0</v>
      </c>
      <c r="D22">
        <v>1</v>
      </c>
      <c r="E22">
        <v>0</v>
      </c>
      <c r="F22">
        <v>2</v>
      </c>
      <c r="G22">
        <v>0</v>
      </c>
      <c r="H22">
        <v>1</v>
      </c>
      <c r="I22">
        <v>0</v>
      </c>
      <c r="J22">
        <v>2</v>
      </c>
      <c r="K22">
        <v>1</v>
      </c>
      <c r="L22">
        <v>0</v>
      </c>
      <c r="M22">
        <v>1</v>
      </c>
      <c r="N22">
        <v>8</v>
      </c>
      <c r="O22" s="1">
        <f t="shared" si="0"/>
        <v>9.5238095238095233E-2</v>
      </c>
      <c r="P22">
        <v>1</v>
      </c>
      <c r="Q22">
        <v>7</v>
      </c>
      <c r="R22">
        <v>0</v>
      </c>
      <c r="S22">
        <v>0</v>
      </c>
      <c r="T22">
        <v>1</v>
      </c>
      <c r="U22">
        <v>1</v>
      </c>
      <c r="V22">
        <v>11</v>
      </c>
      <c r="W22">
        <v>3</v>
      </c>
      <c r="X22">
        <v>24</v>
      </c>
      <c r="Y22" s="1">
        <f t="shared" si="1"/>
        <v>0.2857142857142857</v>
      </c>
      <c r="Z22">
        <v>32</v>
      </c>
      <c r="AA22" s="1">
        <f t="shared" si="2"/>
        <v>0.38095238095238093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84&lt;/td&gt;&lt;td&gt;0&lt;/td&gt;&lt;td&gt;1&lt;/td&gt;&lt;td&gt;0&lt;/td&gt;&lt;td&gt;2&lt;/td&gt;&lt;td&gt;0&lt;/td&gt;&lt;td&gt;1&lt;/td&gt;&lt;td&gt;0&lt;/td&gt;&lt;td&gt;2&lt;/td&gt;&lt;td&gt;1&lt;/td&gt;&lt;td&gt;0&lt;/td&gt;&lt;td&gt;1&lt;/td&gt;&lt;td&gt;8&lt;/td&gt;&lt;td&gt;0.10&lt;/td&gt;&lt;td&gt;32&lt;/td&gt;&lt;td&gt;0.38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84&lt;/td&gt;&lt;td&gt;1&lt;/td&gt;&lt;td&gt;7&lt;/td&gt;&lt;td&gt;0&lt;/td&gt;&lt;td&gt;0&lt;/td&gt;&lt;td&gt;1&lt;/td&gt;&lt;td&gt;1&lt;/td&gt;&lt;td&gt;11&lt;/td&gt;&lt;td&gt;3&lt;/td&gt;&lt;td&gt;24&lt;/td&gt;&lt;td&gt;0.29&lt;/td&gt;&lt;td&gt;32&lt;/td&gt;&lt;td&gt;0.38&lt;/td&gt;&lt;/tr&gt;</v>
      </c>
    </row>
    <row r="23" spans="1:46" x14ac:dyDescent="0.3">
      <c r="A23" t="s">
        <v>46</v>
      </c>
      <c r="B23">
        <v>7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 s="1">
        <f t="shared" si="0"/>
        <v>0.5714285714285714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 s="1">
        <f t="shared" si="1"/>
        <v>0.2857142857142857</v>
      </c>
      <c r="Z23">
        <v>6</v>
      </c>
      <c r="AA23" s="1">
        <f t="shared" si="2"/>
        <v>0.8571428571428571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7&lt;/td&gt;&lt;td&gt;0&lt;/td&gt;&lt;td&gt;1&lt;/td&gt;&lt;td&gt;1&lt;/td&gt;&lt;td&gt;1&lt;/td&gt;&lt;td&gt;0&lt;/td&gt;&lt;td&gt;1&lt;/td&gt;&lt;td&gt;0&lt;/td&gt;&lt;td&gt;0&lt;/td&gt;&lt;td&gt;0&lt;/td&gt;&lt;td&gt;0&lt;/td&gt;&lt;td&gt;0&lt;/td&gt;&lt;td&gt;4&lt;/td&gt;&lt;td&gt;0.57&lt;/td&gt;&lt;td&gt;6&lt;/td&gt;&lt;td&gt;0.86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7&lt;/td&gt;&lt;td&gt;0&lt;/td&gt;&lt;td&gt;1&lt;/td&gt;&lt;td&gt;1&lt;/td&gt;&lt;td&gt;0&lt;/td&gt;&lt;td&gt;0&lt;/td&gt;&lt;td&gt;0&lt;/td&gt;&lt;td&gt;0&lt;/td&gt;&lt;td&gt;0&lt;/td&gt;&lt;td&gt;2&lt;/td&gt;&lt;td&gt;0.29&lt;/td&gt;&lt;td&gt;6&lt;/td&gt;&lt;td&gt;0.86&lt;/td&gt;&lt;/tr&gt;</v>
      </c>
    </row>
    <row r="24" spans="1:46" x14ac:dyDescent="0.3">
      <c r="A24" t="s">
        <v>47</v>
      </c>
      <c r="B24">
        <v>67</v>
      </c>
      <c r="C24">
        <v>0</v>
      </c>
      <c r="D24">
        <v>0</v>
      </c>
      <c r="E24">
        <v>0</v>
      </c>
      <c r="F24">
        <v>7</v>
      </c>
      <c r="G24">
        <v>0</v>
      </c>
      <c r="H24">
        <v>0</v>
      </c>
      <c r="I24">
        <v>5</v>
      </c>
      <c r="J24">
        <v>1</v>
      </c>
      <c r="K24">
        <v>0</v>
      </c>
      <c r="L24">
        <v>4</v>
      </c>
      <c r="M24">
        <v>0</v>
      </c>
      <c r="N24">
        <v>17</v>
      </c>
      <c r="O24" s="1">
        <f t="shared" si="0"/>
        <v>0.2537313432835821</v>
      </c>
      <c r="P24">
        <v>1</v>
      </c>
      <c r="Q24">
        <v>9</v>
      </c>
      <c r="R24">
        <v>5</v>
      </c>
      <c r="S24">
        <v>0</v>
      </c>
      <c r="T24">
        <v>0</v>
      </c>
      <c r="U24">
        <v>0</v>
      </c>
      <c r="V24">
        <v>6</v>
      </c>
      <c r="W24">
        <v>5</v>
      </c>
      <c r="X24">
        <v>26</v>
      </c>
      <c r="Y24" s="1">
        <f t="shared" si="1"/>
        <v>0.38805970149253732</v>
      </c>
      <c r="Z24">
        <v>43</v>
      </c>
      <c r="AA24" s="1">
        <f t="shared" si="2"/>
        <v>0.64179104477611937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67&lt;/td&gt;&lt;td&gt;0&lt;/td&gt;&lt;td&gt;0&lt;/td&gt;&lt;td&gt;0&lt;/td&gt;&lt;td&gt;7&lt;/td&gt;&lt;td&gt;0&lt;/td&gt;&lt;td&gt;0&lt;/td&gt;&lt;td&gt;5&lt;/td&gt;&lt;td&gt;1&lt;/td&gt;&lt;td&gt;0&lt;/td&gt;&lt;td&gt;4&lt;/td&gt;&lt;td&gt;0&lt;/td&gt;&lt;td&gt;17&lt;/td&gt;&lt;td&gt;0.25&lt;/td&gt;&lt;td&gt;43&lt;/td&gt;&lt;td&gt;0.64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67&lt;/td&gt;&lt;td&gt;1&lt;/td&gt;&lt;td&gt;9&lt;/td&gt;&lt;td&gt;5&lt;/td&gt;&lt;td&gt;0&lt;/td&gt;&lt;td&gt;0&lt;/td&gt;&lt;td&gt;0&lt;/td&gt;&lt;td&gt;6&lt;/td&gt;&lt;td&gt;5&lt;/td&gt;&lt;td&gt;26&lt;/td&gt;&lt;td&gt;0.39&lt;/td&gt;&lt;td&gt;43&lt;/td&gt;&lt;td&gt;0.64&lt;/td&gt;&lt;/tr&gt;</v>
      </c>
    </row>
    <row r="26" spans="1:46" x14ac:dyDescent="0.3">
      <c r="A26" t="str">
        <f>AC4</f>
        <v>&lt;tr&gt;&lt;td&gt;Makovicka&lt;/td&gt;&lt;td&gt;63&lt;/td&gt;&lt;td&gt;0&lt;/td&gt;&lt;td&gt;0&lt;/td&gt;&lt;td&gt;0&lt;/td&gt;&lt;td&gt;0&lt;/td&gt;&lt;td&gt;0&lt;/td&gt;&lt;td&gt;1&lt;/td&gt;&lt;td&gt;0&lt;/td&gt;&lt;td&gt;4&lt;/td&gt;&lt;td&gt;3&lt;/td&gt;&lt;td&gt;0&lt;/td&gt;&lt;td&gt;0&lt;/td&gt;&lt;td&gt;8&lt;/td&gt;&lt;td&gt;0.13&lt;/td&gt;&lt;td&gt;14&lt;/td&gt;&lt;td&gt;0.22&lt;/td&gt;&lt;/tr&gt;</v>
      </c>
    </row>
    <row r="27" spans="1:46" x14ac:dyDescent="0.3">
      <c r="A27" t="str">
        <f>AC15</f>
        <v>&lt;tr&gt;&lt;td&gt;Williams&lt;/td&gt;&lt;td&gt;76&lt;/td&gt;&lt;td&gt;0&lt;/td&gt;&lt;td&gt;0&lt;/td&gt;&lt;td&gt;0&lt;/td&gt;&lt;td&gt;5&lt;/td&gt;&lt;td&gt;0&lt;/td&gt;&lt;td&gt;1&lt;/td&gt;&lt;td&gt;1&lt;/td&gt;&lt;td&gt;0&lt;/td&gt;&lt;td&gt;0&lt;/td&gt;&lt;td&gt;0&lt;/td&gt;&lt;td&gt;0&lt;/td&gt;&lt;td&gt;7&lt;/td&gt;&lt;td&gt;0.09&lt;/td&gt;&lt;td&gt;19&lt;/td&gt;&lt;td&gt;0.25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67&lt;/td&gt;&lt;td&gt;0&lt;/td&gt;&lt;td&gt;0&lt;/td&gt;&lt;td&gt;0&lt;/td&gt;&lt;td&gt;7&lt;/td&gt;&lt;td&gt;0&lt;/td&gt;&lt;td&gt;0&lt;/td&gt;&lt;td&gt;5&lt;/td&gt;&lt;td&gt;1&lt;/td&gt;&lt;td&gt;0&lt;/td&gt;&lt;td&gt;4&lt;/td&gt;&lt;td&gt;0&lt;/td&gt;&lt;td&gt;17&lt;/td&gt;&lt;td&gt;0.25&lt;/td&gt;&lt;td&gt;43&lt;/td&gt;&lt;td&gt;0.64&lt;/td&gt;&lt;/tr&gt;</v>
      </c>
    </row>
    <row r="30" spans="1:46" x14ac:dyDescent="0.3">
      <c r="A30" t="str">
        <f>AC12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1" spans="1:46" x14ac:dyDescent="0.3">
      <c r="A31" t="str">
        <f>AC22</f>
        <v>&lt;tr&gt;&lt;td&gt;Borer&lt;/td&gt;&lt;td&gt;84&lt;/td&gt;&lt;td&gt;0&lt;/td&gt;&lt;td&gt;1&lt;/td&gt;&lt;td&gt;0&lt;/td&gt;&lt;td&gt;2&lt;/td&gt;&lt;td&gt;0&lt;/td&gt;&lt;td&gt;1&lt;/td&gt;&lt;td&gt;0&lt;/td&gt;&lt;td&gt;2&lt;/td&gt;&lt;td&gt;1&lt;/td&gt;&lt;td&gt;0&lt;/td&gt;&lt;td&gt;1&lt;/td&gt;&lt;td&gt;8&lt;/td&gt;&lt;td&gt;0.10&lt;/td&gt;&lt;td&gt;32&lt;/td&gt;&lt;td&gt;0.38&lt;/td&gt;&lt;/tr&gt;</v>
      </c>
    </row>
    <row r="32" spans="1:46" x14ac:dyDescent="0.3">
      <c r="A32" t="str">
        <f>AC3</f>
        <v>&lt;tr&gt;&lt;td&gt;Geraneo&lt;/td&gt;&lt;td&gt;29&lt;/td&gt;&lt;td&gt;0&lt;/td&gt;&lt;td&gt;0&lt;/td&gt;&lt;td&gt;0&lt;/td&gt;&lt;td&gt;1&lt;/td&gt;&lt;td&gt;0&lt;/td&gt;&lt;td&gt;1&lt;/td&gt;&lt;td&gt;0&lt;/td&gt;&lt;td&gt;1&lt;/td&gt;&lt;td&gt;0&lt;/td&gt;&lt;td&gt;1&lt;/td&gt;&lt;td&gt;0&lt;/td&gt;&lt;td&gt;4&lt;/td&gt;&lt;td&gt;0.14&lt;/td&gt;&lt;td&gt;7&lt;/td&gt;&lt;td&gt;0.24&lt;/td&gt;&lt;/tr&gt;</v>
      </c>
    </row>
    <row r="33" spans="1:1" x14ac:dyDescent="0.3">
      <c r="A33" t="str">
        <f>AC7</f>
        <v>&lt;tr&gt;&lt;td&gt;Donnelly&lt;/td&gt;&lt;td&gt;83&lt;/td&gt;&lt;td&gt;0&lt;/td&gt;&lt;td&gt;0&lt;/td&gt;&lt;td&gt;0&lt;/td&gt;&lt;td&gt;0&lt;/td&gt;&lt;td&gt;0&lt;/td&gt;&lt;td&gt;2&lt;/td&gt;&lt;td&gt;2&lt;/td&gt;&lt;td&gt;1&lt;/td&gt;&lt;td&gt;0&lt;/td&gt;&lt;td&gt;2&lt;/td&gt;&lt;td&gt;0&lt;/td&gt;&lt;td&gt;7&lt;/td&gt;&lt;td&gt;0.08&lt;/td&gt;&lt;td&gt;31&lt;/td&gt;&lt;td&gt;0.37&lt;/td&gt;&lt;/tr&gt;</v>
      </c>
    </row>
    <row r="34" spans="1:1" x14ac:dyDescent="0.3">
      <c r="A34" t="str">
        <f>AC8</f>
        <v>&lt;tr&gt;&lt;td&gt;Drozda&lt;/td&gt;&lt;td&gt;18&lt;/td&gt;&lt;td&gt;0&lt;/td&gt;&lt;td&gt;0&lt;/td&gt;&lt;td&gt;0&lt;/td&gt;&lt;td&gt;2&lt;/td&gt;&lt;td&gt;0&lt;/td&gt;&lt;td&gt;0&lt;/td&gt;&lt;td&gt;2&lt;/td&gt;&lt;td&gt;0&lt;/td&gt;&lt;td&gt;0&lt;/td&gt;&lt;td&gt;1&lt;/td&gt;&lt;td&gt;1&lt;/td&gt;&lt;td&gt;6&lt;/td&gt;&lt;td&gt;0.33&lt;/td&gt;&lt;td&gt;9&lt;/td&gt;&lt;td&gt;0.50&lt;/td&gt;&lt;/tr&gt;</v>
      </c>
    </row>
    <row r="35" spans="1:1" x14ac:dyDescent="0.3">
      <c r="A35" t="str">
        <f>AC23</f>
        <v>&lt;tr&gt;&lt;td&gt;Sato&lt;/td&gt;&lt;td&gt;7&lt;/td&gt;&lt;td&gt;0&lt;/td&gt;&lt;td&gt;1&lt;/td&gt;&lt;td&gt;1&lt;/td&gt;&lt;td&gt;1&lt;/td&gt;&lt;td&gt;0&lt;/td&gt;&lt;td&gt;1&lt;/td&gt;&lt;td&gt;0&lt;/td&gt;&lt;td&gt;0&lt;/td&gt;&lt;td&gt;0&lt;/td&gt;&lt;td&gt;0&lt;/td&gt;&lt;td&gt;0&lt;/td&gt;&lt;td&gt;4&lt;/td&gt;&lt;td&gt;0.57&lt;/td&gt;&lt;td&gt;6&lt;/td&gt;&lt;td&gt;0.86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62&lt;/td&gt;&lt;td&gt;0&lt;/td&gt;&lt;td&gt;0&lt;/td&gt;&lt;td&gt;0&lt;/td&gt;&lt;td&gt;1&lt;/td&gt;&lt;td&gt;0&lt;/td&gt;&lt;td&gt;2&lt;/td&gt;&lt;td&gt;0&lt;/td&gt;&lt;td&gt;0&lt;/td&gt;&lt;td&gt;1&lt;/td&gt;&lt;td&gt;0&lt;/td&gt;&lt;td&gt;1&lt;/td&gt;&lt;td&gt;5&lt;/td&gt;&lt;td&gt;0.08&lt;/td&gt;&lt;td&gt;22&lt;/td&gt;&lt;td&gt;0.35&lt;/td&gt;&lt;/tr&gt;</v>
      </c>
    </row>
    <row r="38" spans="1:1" x14ac:dyDescent="0.3">
      <c r="A38" t="str">
        <f>AC21</f>
        <v>&lt;tr&gt;&lt;td&gt;Snowden&lt;/td&gt;&lt;td&gt;68&lt;/td&gt;&lt;td&gt;1&lt;/td&gt;&lt;td&gt;0&lt;/td&gt;&lt;td&gt;0&lt;/td&gt;&lt;td&gt;6&lt;/td&gt;&lt;td&gt;0&lt;/td&gt;&lt;td&gt;0&lt;/td&gt;&lt;td&gt;0&lt;/td&gt;&lt;td&gt;2&lt;/td&gt;&lt;td&gt;1&lt;/td&gt;&lt;td&gt;1&lt;/td&gt;&lt;td&gt;1&lt;/td&gt;&lt;td&gt;12&lt;/td&gt;&lt;td&gt;0.18&lt;/td&gt;&lt;td&gt;35&lt;/td&gt;&lt;td&gt;0.51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11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39&lt;/td&gt;&lt;td&gt;1&lt;/td&gt;&lt;td&gt;0&lt;/td&gt;&lt;td&gt;0&lt;/td&gt;&lt;td&gt;1&lt;/td&gt;&lt;td&gt;0&lt;/td&gt;&lt;td&gt;2&lt;/td&gt;&lt;td&gt;1&lt;/td&gt;&lt;td&gt;1&lt;/td&gt;&lt;td&gt;0&lt;/td&gt;&lt;td&gt;1&lt;/td&gt;&lt;td&gt;3&lt;/td&gt;&lt;td&gt;10&lt;/td&gt;&lt;td&gt;0.26&lt;/td&gt;&lt;td&gt;20&lt;/td&gt;&lt;td&gt;0.51&lt;/td&gt;&lt;/tr&gt;</v>
      </c>
    </row>
    <row r="42" spans="1:1" x14ac:dyDescent="0.3">
      <c r="A42" t="str">
        <f>AC10</f>
        <v>&lt;tr&gt;&lt;td&gt;Rudney&lt;/td&gt;&lt;td&gt;59&lt;/td&gt;&lt;td&gt;0&lt;/td&gt;&lt;td&gt;1&lt;/td&gt;&lt;td&gt;0&lt;/td&gt;&lt;td&gt;2&lt;/td&gt;&lt;td&gt;0&lt;/td&gt;&lt;td&gt;0&lt;/td&gt;&lt;td&gt;2&lt;/td&gt;&lt;td&gt;1&lt;/td&gt;&lt;td&gt;0&lt;/td&gt;&lt;td&gt;3&lt;/td&gt;&lt;td&gt;0&lt;/td&gt;&lt;td&gt;9&lt;/td&gt;&lt;td&gt;0.15&lt;/td&gt;&lt;td&gt;21&lt;/td&gt;&lt;td&gt;0.36&lt;/td&gt;&lt;/tr&gt;</v>
      </c>
    </row>
    <row r="43" spans="1:1" x14ac:dyDescent="0.3">
      <c r="A43" t="str">
        <f>AC2</f>
        <v>&lt;tr&gt;&lt;td&gt;Jones&lt;/td&gt;&lt;td&gt;33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0.09&lt;/td&gt;&lt;td&gt;14&lt;/td&gt;&lt;td&gt;0.42&lt;/td&gt;&lt;/tr&gt;</v>
      </c>
    </row>
    <row r="44" spans="1:1" x14ac:dyDescent="0.3">
      <c r="A44" t="str">
        <f>AC19</f>
        <v>&lt;tr&gt;&lt;td&gt;Lewis&lt;/td&gt;&lt;td&gt;58&lt;/td&gt;&lt;td&gt;0&lt;/td&gt;&lt;td&gt;0&lt;/td&gt;&lt;td&gt;0&lt;/td&gt;&lt;td&gt;1&lt;/td&gt;&lt;td&gt;0&lt;/td&gt;&lt;td&gt;1&lt;/td&gt;&lt;td&gt;3&lt;/td&gt;&lt;td&gt;0&lt;/td&gt;&lt;td&gt;1&lt;/td&gt;&lt;td&gt;0&lt;/td&gt;&lt;td&gt;2&lt;/td&gt;&lt;td&gt;10&lt;/td&gt;&lt;td&gt;0.17&lt;/td&gt;&lt;td&gt;14&lt;/td&gt;&lt;td&gt;0.24&lt;/td&gt;&lt;/tr&gt;</v>
      </c>
    </row>
    <row r="45" spans="1:1" x14ac:dyDescent="0.3">
      <c r="A45" t="str">
        <f>AC17</f>
        <v>&lt;tr&gt;&lt;td&gt;Carpenter&lt;/td&gt;&lt;td&gt;65&lt;/td&gt;&lt;td&gt;0&lt;/td&gt;&lt;td&gt;0&lt;/td&gt;&lt;td&gt;0&lt;/td&gt;&lt;td&gt;5&lt;/td&gt;&lt;td&gt;0&lt;/td&gt;&lt;td&gt;2&lt;/td&gt;&lt;td&gt;1&lt;/td&gt;&lt;td&gt;1&lt;/td&gt;&lt;td&gt;1&lt;/td&gt;&lt;td&gt;3&lt;/td&gt;&lt;td&gt;1&lt;/td&gt;&lt;td&gt;14&lt;/td&gt;&lt;td&gt;0.22&lt;/td&gt;&lt;td&gt;30&lt;/td&gt;&lt;td&gt;0.46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46&lt;/td&gt;&lt;td&gt;0&lt;/td&gt;&lt;td&gt;0&lt;/td&gt;&lt;td&gt;1&lt;/td&gt;&lt;td&gt;1&lt;/td&gt;&lt;td&gt;0&lt;/td&gt;&lt;td&gt;1&lt;/td&gt;&lt;td&gt;2&lt;/td&gt;&lt;td&gt;2&lt;/td&gt;&lt;td&gt;1&lt;/td&gt;&lt;td&gt;0&lt;/td&gt;&lt;td&gt;1&lt;/td&gt;&lt;td&gt;9&lt;/td&gt;&lt;td&gt;0.20&lt;/td&gt;&lt;td&gt;14&lt;/td&gt;&lt;td&gt;0.30&lt;/td&gt;&lt;/tr&gt;</v>
      </c>
    </row>
    <row r="48" spans="1:1" x14ac:dyDescent="0.3">
      <c r="A48" t="str">
        <f>AC6</f>
        <v>&lt;tr&gt;&lt;td&gt;Wistrom&lt;/td&gt;&lt;td&gt;26&lt;/td&gt;&lt;td&gt;0&lt;/td&gt;&lt;td&gt;0&lt;/td&gt;&lt;td&gt;0&lt;/td&gt;&lt;td&gt;0&lt;/td&gt;&lt;td&gt;0&lt;/td&gt;&lt;td&gt;0&lt;/td&gt;&lt;td&gt;2&lt;/td&gt;&lt;td&gt;1&lt;/td&gt;&lt;td&gt;1&lt;/td&gt;&lt;td&gt;0&lt;/td&gt;&lt;td&gt;0&lt;/td&gt;&lt;td&gt;4&lt;/td&gt;&lt;td&gt;0.15&lt;/td&gt;&lt;td&gt;11&lt;/td&gt;&lt;td&gt;0.42&lt;/td&gt;&lt;/tr&gt;</v>
      </c>
    </row>
    <row r="50" spans="1:1" x14ac:dyDescent="0.3">
      <c r="A50" t="str">
        <f>AT4</f>
        <v>&lt;tr&gt;&lt;td&gt;Makovicka&lt;/td&gt;&lt;td&gt;63&lt;/td&gt;&lt;td&gt;0&lt;/td&gt;&lt;td&gt;0&lt;/td&gt;&lt;td&gt;0&lt;/td&gt;&lt;td&gt;0&lt;/td&gt;&lt;td&gt;0&lt;/td&gt;&lt;td&gt;0&lt;/td&gt;&lt;td&gt;2&lt;/td&gt;&lt;td&gt;4&lt;/td&gt;&lt;td&gt;6&lt;/td&gt;&lt;td&gt;0.10&lt;/td&gt;&lt;td&gt;14&lt;/td&gt;&lt;td&gt;0.22&lt;/td&gt;&lt;/tr&gt;</v>
      </c>
    </row>
    <row r="51" spans="1:1" x14ac:dyDescent="0.3">
      <c r="A51" t="str">
        <f>AT15</f>
        <v>&lt;tr&gt;&lt;td&gt;Williams&lt;/td&gt;&lt;td&gt;76&lt;/td&gt;&lt;td&gt;1&lt;/td&gt;&lt;td&gt;4&lt;/td&gt;&lt;td&gt;3&lt;/td&gt;&lt;td&gt;0&lt;/td&gt;&lt;td&gt;1&lt;/td&gt;&lt;td&gt;1&lt;/td&gt;&lt;td&gt;1&lt;/td&gt;&lt;td&gt;1&lt;/td&gt;&lt;td&gt;12&lt;/td&gt;&lt;td&gt;0.16&lt;/td&gt;&lt;td&gt;19&lt;/td&gt;&lt;td&gt;0.25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67&lt;/td&gt;&lt;td&gt;1&lt;/td&gt;&lt;td&gt;9&lt;/td&gt;&lt;td&gt;5&lt;/td&gt;&lt;td&gt;0&lt;/td&gt;&lt;td&gt;0&lt;/td&gt;&lt;td&gt;0&lt;/td&gt;&lt;td&gt;6&lt;/td&gt;&lt;td&gt;5&lt;/td&gt;&lt;td&gt;26&lt;/td&gt;&lt;td&gt;0.39&lt;/td&gt;&lt;td&gt;43&lt;/td&gt;&lt;td&gt;0.64&lt;/td&gt;&lt;/tr&gt;</v>
      </c>
    </row>
    <row r="54" spans="1:1" x14ac:dyDescent="0.3">
      <c r="A54" t="str">
        <f>AT12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5" spans="1:1" x14ac:dyDescent="0.3">
      <c r="A55" t="str">
        <f>AT22</f>
        <v>&lt;tr&gt;&lt;td&gt;Borer&lt;/td&gt;&lt;td&gt;84&lt;/td&gt;&lt;td&gt;1&lt;/td&gt;&lt;td&gt;7&lt;/td&gt;&lt;td&gt;0&lt;/td&gt;&lt;td&gt;0&lt;/td&gt;&lt;td&gt;1&lt;/td&gt;&lt;td&gt;1&lt;/td&gt;&lt;td&gt;11&lt;/td&gt;&lt;td&gt;3&lt;/td&gt;&lt;td&gt;24&lt;/td&gt;&lt;td&gt;0.29&lt;/td&gt;&lt;td&gt;32&lt;/td&gt;&lt;td&gt;0.38&lt;/td&gt;&lt;/tr&gt;</v>
      </c>
    </row>
    <row r="56" spans="1:1" x14ac:dyDescent="0.3">
      <c r="A56" t="str">
        <f>AT3</f>
        <v>&lt;tr&gt;&lt;td&gt;Geraneo&lt;/td&gt;&lt;td&gt;29&lt;/td&gt;&lt;td&gt;0&lt;/td&gt;&lt;td&gt;1&lt;/td&gt;&lt;td&gt;0&lt;/td&gt;&lt;td&gt;0&lt;/td&gt;&lt;td&gt;0&lt;/td&gt;&lt;td&gt;0&lt;/td&gt;&lt;td&gt;0&lt;/td&gt;&lt;td&gt;2&lt;/td&gt;&lt;td&gt;3&lt;/td&gt;&lt;td&gt;0.10&lt;/td&gt;&lt;td&gt;7&lt;/td&gt;&lt;td&gt;0.24&lt;/td&gt;&lt;/tr&gt;</v>
      </c>
    </row>
    <row r="57" spans="1:1" x14ac:dyDescent="0.3">
      <c r="A57" t="str">
        <f>AT7</f>
        <v>&lt;tr&gt;&lt;td&gt;Donnelly&lt;/td&gt;&lt;td&gt;83&lt;/td&gt;&lt;td&gt;2&lt;/td&gt;&lt;td&gt;2&lt;/td&gt;&lt;td&gt;4&lt;/td&gt;&lt;td&gt;0&lt;/td&gt;&lt;td&gt;0&lt;/td&gt;&lt;td&gt;0&lt;/td&gt;&lt;td&gt;7&lt;/td&gt;&lt;td&gt;9&lt;/td&gt;&lt;td&gt;24&lt;/td&gt;&lt;td&gt;0.29&lt;/td&gt;&lt;td&gt;31&lt;/td&gt;&lt;td&gt;0.37&lt;/td&gt;&lt;/tr&gt;</v>
      </c>
    </row>
    <row r="58" spans="1:1" x14ac:dyDescent="0.3">
      <c r="A58" t="str">
        <f>AT8</f>
        <v>&lt;tr&gt;&lt;td&gt;Drozda&lt;/td&gt;&lt;td&gt;18&lt;/td&gt;&lt;td&gt;0&lt;/td&gt;&lt;td&gt;1&lt;/td&gt;&lt;td&gt;1&lt;/td&gt;&lt;td&gt;0&lt;/td&gt;&lt;td&gt;0&lt;/td&gt;&lt;td&gt;0&lt;/td&gt;&lt;td&gt;0&lt;/td&gt;&lt;td&gt;1&lt;/td&gt;&lt;td&gt;3&lt;/td&gt;&lt;td&gt;0.17&lt;/td&gt;&lt;td&gt;9&lt;/td&gt;&lt;td&gt;0.50&lt;/td&gt;&lt;/tr&gt;</v>
      </c>
    </row>
    <row r="59" spans="1:1" x14ac:dyDescent="0.3">
      <c r="A59" t="str">
        <f>AT23</f>
        <v>&lt;tr&gt;&lt;td&gt;Sato&lt;/td&gt;&lt;td&gt;7&lt;/td&gt;&lt;td&gt;0&lt;/td&gt;&lt;td&gt;1&lt;/td&gt;&lt;td&gt;1&lt;/td&gt;&lt;td&gt;0&lt;/td&gt;&lt;td&gt;0&lt;/td&gt;&lt;td&gt;0&lt;/td&gt;&lt;td&gt;0&lt;/td&gt;&lt;td&gt;0&lt;/td&gt;&lt;td&gt;2&lt;/td&gt;&lt;td&gt;0.29&lt;/td&gt;&lt;td&gt;6&lt;/td&gt;&lt;td&gt;0.86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62&lt;/td&gt;&lt;td&gt;0&lt;/td&gt;&lt;td&gt;5&lt;/td&gt;&lt;td&gt;4&lt;/td&gt;&lt;td&gt;0&lt;/td&gt;&lt;td&gt;0&lt;/td&gt;&lt;td&gt;0&lt;/td&gt;&lt;td&gt;1&lt;/td&gt;&lt;td&gt;7&lt;/td&gt;&lt;td&gt;17&lt;/td&gt;&lt;td&gt;0.27&lt;/td&gt;&lt;td&gt;22&lt;/td&gt;&lt;td&gt;0.35&lt;/td&gt;&lt;/tr&gt;</v>
      </c>
    </row>
    <row r="62" spans="1:1" x14ac:dyDescent="0.3">
      <c r="A62" t="str">
        <f>AT21</f>
        <v>&lt;tr&gt;&lt;td&gt;Snowden&lt;/td&gt;&lt;td&gt;68&lt;/td&gt;&lt;td&gt;7&lt;/td&gt;&lt;td&gt;3&lt;/td&gt;&lt;td&gt;2&lt;/td&gt;&lt;td&gt;0&lt;/td&gt;&lt;td&gt;1&lt;/td&gt;&lt;td&gt;0&lt;/td&gt;&lt;td&gt;6&lt;/td&gt;&lt;td&gt;4&lt;/td&gt;&lt;td&gt;23&lt;/td&gt;&lt;td&gt;0.34&lt;/td&gt;&lt;td&gt;35&lt;/td&gt;&lt;td&gt;0.51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11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39&lt;/td&gt;&lt;td&gt;0&lt;/td&gt;&lt;td&gt;1&lt;/td&gt;&lt;td&gt;1&lt;/td&gt;&lt;td&gt;0&lt;/td&gt;&lt;td&gt;0&lt;/td&gt;&lt;td&gt;2&lt;/td&gt;&lt;td&gt;2&lt;/td&gt;&lt;td&gt;4&lt;/td&gt;&lt;td&gt;10&lt;/td&gt;&lt;td&gt;0.26&lt;/td&gt;&lt;td&gt;20&lt;/td&gt;&lt;td&gt;0.51&lt;/td&gt;&lt;/tr&gt;</v>
      </c>
    </row>
    <row r="66" spans="1:23" x14ac:dyDescent="0.3">
      <c r="A66" t="str">
        <f>AT10</f>
        <v>&lt;tr&gt;&lt;td&gt;Rudney&lt;/td&gt;&lt;td&gt;59&lt;/td&gt;&lt;td&gt;5&lt;/td&gt;&lt;td&gt;4&lt;/td&gt;&lt;td&gt;0&lt;/td&gt;&lt;td&gt;0&lt;/td&gt;&lt;td&gt;0&lt;/td&gt;&lt;td&gt;1&lt;/td&gt;&lt;td&gt;1&lt;/td&gt;&lt;td&gt;1&lt;/td&gt;&lt;td&gt;12&lt;/td&gt;&lt;td&gt;0.20&lt;/td&gt;&lt;td&gt;21&lt;/td&gt;&lt;td&gt;0.36&lt;/td&gt;&lt;/tr&gt;</v>
      </c>
    </row>
    <row r="67" spans="1:23" x14ac:dyDescent="0.3">
      <c r="A67" t="str">
        <f>AT2</f>
        <v>&lt;tr&gt;&lt;td&gt;Jones&lt;/td&gt;&lt;td&gt;33&lt;/td&gt;&lt;td&gt;3&lt;/td&gt;&lt;td&gt;2&lt;/td&gt;&lt;td&gt;2&lt;/td&gt;&lt;td&gt;0&lt;/td&gt;&lt;td&gt;0&lt;/td&gt;&lt;td&gt;0&lt;/td&gt;&lt;td&gt;2&lt;/td&gt;&lt;td&gt;2&lt;/td&gt;&lt;td&gt;11&lt;/td&gt;&lt;td&gt;0.33&lt;/td&gt;&lt;td&gt;14&lt;/td&gt;&lt;td&gt;0.42&lt;/td&gt;&lt;/tr&gt;</v>
      </c>
    </row>
    <row r="68" spans="1:23" x14ac:dyDescent="0.3">
      <c r="A68" t="str">
        <f>AT19</f>
        <v>&lt;tr&gt;&lt;td&gt;Lewis&lt;/td&gt;&lt;td&gt;58&lt;/td&gt;&lt;td&gt;1&lt;/td&gt;&lt;td&gt;1&lt;/td&gt;&lt;td&gt;0&lt;/td&gt;&lt;td&gt;0&lt;/td&gt;&lt;td&gt;0&lt;/td&gt;&lt;td&gt;0&lt;/td&gt;&lt;td&gt;0&lt;/td&gt;&lt;td&gt;2&lt;/td&gt;&lt;td&gt;4&lt;/td&gt;&lt;td&gt;0.07&lt;/td&gt;&lt;td&gt;14&lt;/td&gt;&lt;td&gt;0.24&lt;/td&gt;&lt;/tr&gt;</v>
      </c>
    </row>
    <row r="69" spans="1:23" x14ac:dyDescent="0.3">
      <c r="A69" t="str">
        <f>AT17</f>
        <v>&lt;tr&gt;&lt;td&gt;Carpenter&lt;/td&gt;&lt;td&gt;65&lt;/td&gt;&lt;td&gt;2&lt;/td&gt;&lt;td&gt;1&lt;/td&gt;&lt;td&gt;4&lt;/td&gt;&lt;td&gt;0&lt;/td&gt;&lt;td&gt;0&lt;/td&gt;&lt;td&gt;2&lt;/td&gt;&lt;td&gt;2&lt;/td&gt;&lt;td&gt;5&lt;/td&gt;&lt;td&gt;16&lt;/td&gt;&lt;td&gt;0.25&lt;/td&gt;&lt;td&gt;30&lt;/td&gt;&lt;td&gt;0.46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46&lt;/td&gt;&lt;td&gt;1&lt;/td&gt;&lt;td&gt;0&lt;/td&gt;&lt;td&gt;2&lt;/td&gt;&lt;td&gt;0&lt;/td&gt;&lt;td&gt;0&lt;/td&gt;&lt;td&gt;1&lt;/td&gt;&lt;td&gt;0&lt;/td&gt;&lt;td&gt;1&lt;/td&gt;&lt;td&gt;5&lt;/td&gt;&lt;td&gt;0.11&lt;/td&gt;&lt;td&gt;14&lt;/td&gt;&lt;td&gt;0.30&lt;/td&gt;&lt;/tr&gt;</v>
      </c>
    </row>
    <row r="72" spans="1:23" x14ac:dyDescent="0.3">
      <c r="A72" t="str">
        <f>AT6</f>
        <v>&lt;tr&gt;&lt;td&gt;Wistrom&lt;/td&gt;&lt;td&gt;26&lt;/td&gt;&lt;td&gt;0&lt;/td&gt;&lt;td&gt;1&lt;/td&gt;&lt;td&gt;1&lt;/td&gt;&lt;td&gt;0&lt;/td&gt;&lt;td&gt;0&lt;/td&gt;&lt;td&gt;1&lt;/td&gt;&lt;td&gt;0&lt;/td&gt;&lt;td&gt;4&lt;/td&gt;&lt;td&gt;7&lt;/td&gt;&lt;td&gt;0.27&lt;/td&gt;&lt;td&gt;11&lt;/td&gt;&lt;td&gt;0.42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63,</v>
      </c>
      <c r="B76" t="str">
        <f>"minutes: "&amp;$B$15&amp;","</f>
        <v>minutes: 76,</v>
      </c>
      <c r="C76" t="str">
        <f>"minutes: "&amp;$B$9&amp;","</f>
        <v>minutes: 0,</v>
      </c>
      <c r="D76" t="str">
        <f>"minutes: "&amp;$B$24&amp;","</f>
        <v>minutes: 67,</v>
      </c>
      <c r="E76" t="str">
        <f>"minutes: "&amp;$B$12&amp;","</f>
        <v>minutes: 0,</v>
      </c>
      <c r="F76" t="str">
        <f>"minutes: "&amp;$B$22&amp;","</f>
        <v>minutes: 84,</v>
      </c>
      <c r="G76" t="str">
        <f>"minutes: "&amp;$B$3&amp;","</f>
        <v>minutes: 29,</v>
      </c>
      <c r="H76" t="str">
        <f>"minutes: "&amp;$B$7&amp;","</f>
        <v>minutes: 83,</v>
      </c>
      <c r="I76" t="str">
        <f>"minutes: "&amp;$B$8&amp;","</f>
        <v>minutes: 18,</v>
      </c>
      <c r="J76" t="str">
        <f>"minutes: "&amp;$B$23&amp;","</f>
        <v>minutes: 7,</v>
      </c>
      <c r="K76" t="str">
        <f>"minutes: "&amp;$B$20&amp;","</f>
        <v>minutes: 0,</v>
      </c>
      <c r="L76" t="str">
        <f>"minutes: "&amp;$B$14&amp;","</f>
        <v>minutes: 62,</v>
      </c>
      <c r="M76" t="str">
        <f>"minutes: "&amp;$B$21&amp;","</f>
        <v>minutes: 68,</v>
      </c>
      <c r="N76" t="str">
        <f>"minutes: "&amp;$B$11&amp;","</f>
        <v>minutes: 0,</v>
      </c>
      <c r="O76" t="str">
        <f>"minutes: "&amp;$B$13&amp;","</f>
        <v>minutes: 11,</v>
      </c>
      <c r="P76" t="str">
        <f>"minutes: "&amp;$B$5&amp;","</f>
        <v>minutes: 39,</v>
      </c>
      <c r="Q76" t="str">
        <f>"minutes: "&amp;$B$10&amp;","</f>
        <v>minutes: 59,</v>
      </c>
      <c r="R76" t="str">
        <f>"minutes: "&amp;$B$2&amp;","</f>
        <v>minutes: 33,</v>
      </c>
      <c r="S76" t="str">
        <f>"minutes: "&amp;$B$19&amp;","</f>
        <v>minutes: 58,</v>
      </c>
      <c r="T76" t="str">
        <f>"minutes: "&amp;$B$17&amp;","</f>
        <v>minutes: 65,</v>
      </c>
      <c r="U76" t="str">
        <f>"minutes: "&amp;$B$18&amp;","</f>
        <v>minutes: 0,</v>
      </c>
      <c r="V76" t="str">
        <f>"minutes: "&amp;$B$16&amp;","</f>
        <v>minutes: 46,</v>
      </c>
      <c r="W76" t="str">
        <f>"minutes: "&amp;$B$6&amp;","</f>
        <v>minutes: 26,</v>
      </c>
    </row>
    <row r="77" spans="1:23" x14ac:dyDescent="0.3">
      <c r="A77" t="str">
        <f>"totalActions: "&amp;$Z$4&amp;","</f>
        <v>totalActions: 14,</v>
      </c>
      <c r="B77" t="str">
        <f>"totalActions: "&amp;$Z$15&amp;","</f>
        <v>totalActions: 19,</v>
      </c>
      <c r="C77" t="str">
        <f>"totalActions: "&amp;$Z$9&amp;","</f>
        <v>totalActions: 0,</v>
      </c>
      <c r="D77" t="str">
        <f>"totalActions: "&amp;$Z$24&amp;","</f>
        <v>totalActions: 43,</v>
      </c>
      <c r="E77" t="str">
        <f>"totalActions: "&amp;$Z$12&amp;","</f>
        <v>totalActions: 0,</v>
      </c>
      <c r="F77" t="str">
        <f>"totalActions: "&amp;$Z$22&amp;","</f>
        <v>totalActions: 32,</v>
      </c>
      <c r="G77" t="str">
        <f>"totalActions: "&amp;$Z$3&amp;","</f>
        <v>totalActions: 7,</v>
      </c>
      <c r="H77" t="str">
        <f>"totalActions: "&amp;$Z$7&amp;","</f>
        <v>totalActions: 31,</v>
      </c>
      <c r="I77" t="str">
        <f>"totalActions: "&amp;$Z$8&amp;","</f>
        <v>totalActions: 9,</v>
      </c>
      <c r="J77" t="str">
        <f>"totalActions: "&amp;$Z$23&amp;","</f>
        <v>totalActions: 6,</v>
      </c>
      <c r="K77" t="str">
        <f>"totalActions: "&amp;$Z$20&amp;","</f>
        <v>totalActions: 0,</v>
      </c>
      <c r="L77" t="str">
        <f>"totalActions: "&amp;$Z$14&amp;","</f>
        <v>totalActions: 22,</v>
      </c>
      <c r="M77" t="str">
        <f>"totalActions: "&amp;$Z$21&amp;","</f>
        <v>totalActions: 35,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20,</v>
      </c>
      <c r="Q77" t="str">
        <f>"totalActions: "&amp;$Z$10&amp;","</f>
        <v>totalActions: 21,</v>
      </c>
      <c r="R77" t="str">
        <f>"totalActions: "&amp;$Z$2&amp;","</f>
        <v>totalActions: 14,</v>
      </c>
      <c r="S77" t="str">
        <f>"totalActions: "&amp;$Z$19&amp;","</f>
        <v>totalActions: 14,</v>
      </c>
      <c r="T77" t="str">
        <f>"totalActions: "&amp;$Z$17&amp;","</f>
        <v>totalActions: 30,</v>
      </c>
      <c r="U77" t="str">
        <f>"totalActions: "&amp;$Z$18&amp;","</f>
        <v>totalActions: 0,</v>
      </c>
      <c r="V77" t="str">
        <f>"totalActions: "&amp;$Z$16&amp;","</f>
        <v>totalActions: 14,</v>
      </c>
      <c r="W77" t="str">
        <f>"totalActions: "&amp;$Z$6&amp;","</f>
        <v>totalActions: 11,</v>
      </c>
    </row>
    <row r="78" spans="1:23" x14ac:dyDescent="0.3">
      <c r="A78" t="str">
        <f>"actionsPerMinute: "&amp;TEXT($AA$4,"0.00")&amp;","</f>
        <v>actionsPerMinute: 0.22,</v>
      </c>
      <c r="B78" t="str">
        <f>"actionsPerMinute: "&amp;TEXT($AA$15,"0.00")&amp;","</f>
        <v>actionsPerMinute: 0.25,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0.64,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0.38,</v>
      </c>
      <c r="G78" t="str">
        <f>"actionsPerMinute: "&amp;TEXT($AA$3,"0.00")&amp;","</f>
        <v>actionsPerMinute: 0.24,</v>
      </c>
      <c r="H78" t="str">
        <f>"actionsPerMinute: "&amp;TEXT($AA$7,"0.00")&amp;","</f>
        <v>actionsPerMinute: 0.37,</v>
      </c>
      <c r="I78" t="str">
        <f>"actionsPerMinute: "&amp;TEXT($AA$8,"0.00")&amp;","</f>
        <v>actionsPerMinute: 0.50,</v>
      </c>
      <c r="J78" t="str">
        <f>"actionsPerMinute: "&amp;TEXT($AA$23,"0.00")&amp;","</f>
        <v>actionsPerMinute: 0.86,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0.35,</v>
      </c>
      <c r="M78" t="str">
        <f>"actionsPerMinute: "&amp;TEXT($AA$21,"0.00")&amp;","</f>
        <v>actionsPerMinute: 0.51,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0.51,</v>
      </c>
      <c r="Q78" t="str">
        <f>"actionsPerMinute: "&amp;TEXT($AA$10,"0.00")&amp;","</f>
        <v>actionsPerMinute: 0.36,</v>
      </c>
      <c r="R78" t="str">
        <f>"actionsPerMinute: "&amp;TEXT($AA$2,"0.00")&amp;","</f>
        <v>actionsPerMinute: 0.42,</v>
      </c>
      <c r="S78" t="str">
        <f>"actionsPerMinute: "&amp;TEXT($AA$19,"0.00")&amp;","</f>
        <v>actionsPerMinute: 0.24,</v>
      </c>
      <c r="T78" t="str">
        <f>"actionsPerMinute: "&amp;TEXT($AA$17,"0.00")&amp;","</f>
        <v>actionsPerMinute: 0.46,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0.30,</v>
      </c>
      <c r="W78" t="str">
        <f>"actionsPerMinute: "&amp;TEXT($AA$6,"0.00")&amp;","</f>
        <v>actionsPerMinute: 0.42,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8,</v>
      </c>
      <c r="B81" t="str">
        <f>"totalActions: "&amp;$N$15&amp;","</f>
        <v>totalActions: 7,</v>
      </c>
      <c r="C81" t="str">
        <f>"totalActions: "&amp;$N$9&amp;","</f>
        <v>totalActions: 0,</v>
      </c>
      <c r="D81" t="str">
        <f>"totalActions: "&amp;$N$24&amp;","</f>
        <v>totalActions: 17,</v>
      </c>
      <c r="E81" t="str">
        <f>"totalActions: "&amp;$N$12&amp;","</f>
        <v>totalActions: 0,</v>
      </c>
      <c r="F81" t="str">
        <f>"totalActions: "&amp;$N$22&amp;","</f>
        <v>totalActions: 8,</v>
      </c>
      <c r="G81" t="str">
        <f>"totalActions: "&amp;$N$3&amp;","</f>
        <v>totalActions: 4,</v>
      </c>
      <c r="H81" t="str">
        <f>"totalActions: "&amp;$N$7&amp;","</f>
        <v>totalActions: 7,</v>
      </c>
      <c r="I81" t="str">
        <f>"totalActions: "&amp;$N$8&amp;","</f>
        <v>totalActions: 6,</v>
      </c>
      <c r="J81" t="str">
        <f>"totalActions: "&amp;$N$23&amp;","</f>
        <v>totalActions: 4,</v>
      </c>
      <c r="K81" t="str">
        <f>"totalActions: "&amp;$N$20&amp;","</f>
        <v>totalActions: 0,</v>
      </c>
      <c r="L81" t="str">
        <f>"totalActions: "&amp;$N$14&amp;","</f>
        <v>totalActions: 5,</v>
      </c>
      <c r="M81" t="str">
        <f>"totalActions: "&amp;$N$21&amp;","</f>
        <v>totalActions: 12,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10,</v>
      </c>
      <c r="Q81" t="str">
        <f>"totalActions: "&amp;$N$10&amp;","</f>
        <v>totalActions: 9,</v>
      </c>
      <c r="R81" t="str">
        <f>"totalActions: "&amp;$N$2&amp;","</f>
        <v>totalActions: 3,</v>
      </c>
      <c r="S81" t="str">
        <f>"totalActions: "&amp;$N$19&amp;","</f>
        <v>totalActions: 10,</v>
      </c>
      <c r="T81" t="str">
        <f>"totalActions: "&amp;$N$17&amp;","</f>
        <v>totalActions: 14,</v>
      </c>
      <c r="U81" t="str">
        <f>"totalActions: "&amp;$N$18&amp;","</f>
        <v>totalActions: 0,</v>
      </c>
      <c r="V81" t="str">
        <f>"totalActions: "&amp;$N$16&amp;","</f>
        <v>totalActions: 9,</v>
      </c>
      <c r="W81" t="str">
        <f>"totalActions: "&amp;$N$6&amp;","</f>
        <v>totalActions: 4,</v>
      </c>
    </row>
    <row r="82" spans="1:23" x14ac:dyDescent="0.3">
      <c r="A82" t="str">
        <f>"actionsPerMinute: "&amp;TEXT($O$4,"0.00")&amp;","</f>
        <v>actionsPerMinute: 0.13,</v>
      </c>
      <c r="B82" t="str">
        <f>"actionsPerMinute: "&amp;TEXT($O$15,"0.00")&amp;","</f>
        <v>actionsPerMinute: 0.09,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0.25,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0.10,</v>
      </c>
      <c r="G82" t="str">
        <f>"actionsPerMinute: "&amp;TEXT($O$3,"0.00")&amp;","</f>
        <v>actionsPerMinute: 0.14,</v>
      </c>
      <c r="H82" t="str">
        <f>"actionsPerMinute: "&amp;TEXT($O$7,"0.00")&amp;","</f>
        <v>actionsPerMinute: 0.08,</v>
      </c>
      <c r="I82" t="str">
        <f>"actionsPerMinute: "&amp;TEXT($O$8,"0.00")&amp;","</f>
        <v>actionsPerMinute: 0.33,</v>
      </c>
      <c r="J82" t="str">
        <f>"actionsPerMinute: "&amp;TEXT($O$23,"0.00")&amp;","</f>
        <v>actionsPerMinute: 0.57,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0.08,</v>
      </c>
      <c r="M82" t="str">
        <f>"actionsPerMinute: "&amp;TEXT($O$21,"0.00")&amp;","</f>
        <v>actionsPerMinute: 0.18,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0.26,</v>
      </c>
      <c r="Q82" t="str">
        <f>"actionsPerMinute: "&amp;TEXT($O$10,"0.00")&amp;","</f>
        <v>actionsPerMinute: 0.15,</v>
      </c>
      <c r="R82" t="str">
        <f>"actionsPerMinute: "&amp;TEXT($O$2,"0.00")&amp;","</f>
        <v>actionsPerMinute: 0.09,</v>
      </c>
      <c r="S82" t="str">
        <f>"actionsPerMinute: "&amp;TEXT($O$19,"0.00")&amp;","</f>
        <v>actionsPerMinute: 0.17,</v>
      </c>
      <c r="T82" t="str">
        <f>"actionsPerMinute: "&amp;TEXT($O$17,"0.00")&amp;","</f>
        <v>actionsPerMinute: 0.22,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0.20,</v>
      </c>
      <c r="W82" t="str">
        <f>"actionsPerMinute: "&amp;TEXT($O$6,"0.00")&amp;","</f>
        <v>actionsPerMinute: 0.15,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1,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1,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1,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1,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1,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1,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1,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1,</v>
      </c>
      <c r="B87" t="str">
        <f>"effectiveCrosses: "&amp;$H$15&amp;","</f>
        <v>effectiveCrosses: 1,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1,</v>
      </c>
      <c r="G87" t="str">
        <f>"effectiveCrosses: "&amp;$H$3&amp;","</f>
        <v>effectiveCrosses: 1,</v>
      </c>
      <c r="H87" t="str">
        <f>"effectiveCrosses: "&amp;$H$7&amp;","</f>
        <v>effectiveCrosses: 2,</v>
      </c>
      <c r="I87" t="str">
        <f>"effectiveCrosses: "&amp;$H$8&amp;","</f>
        <v>effectiveCrosses: 0,</v>
      </c>
      <c r="J87" t="str">
        <f>"effectiveCrosses: "&amp;$H$23&amp;","</f>
        <v>effectiveCrosses: 1,</v>
      </c>
      <c r="K87" t="str">
        <f>"effectiveCrosses: "&amp;$H$20&amp;","</f>
        <v>effectiveCrosses: 0,</v>
      </c>
      <c r="L87" t="str">
        <f>"effectiveCrosses: "&amp;$H$14&amp;","</f>
        <v>effectiveCrosses: 2,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2,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1,</v>
      </c>
      <c r="T87" t="str">
        <f>"effectiveCrosses: "&amp;$H$17&amp;","</f>
        <v>effectiveCrosses: 2,</v>
      </c>
      <c r="U87" t="str">
        <f>"effectiveCrosses: "&amp;$H$18&amp;","</f>
        <v>effectiveCrosses: 0,</v>
      </c>
      <c r="V87" t="str">
        <f>"effectiveCrosses: "&amp;$H$16&amp;","</f>
        <v>effectiveCrosses: 1,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1,</v>
      </c>
      <c r="C88" t="str">
        <f>"oneVOnes: "&amp;$I$9&amp;","</f>
        <v>oneVOnes: 0,</v>
      </c>
      <c r="D88" t="str">
        <f>"oneVOnes: "&amp;$I$24&amp;","</f>
        <v>oneVOnes: 5,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2,</v>
      </c>
      <c r="I88" t="str">
        <f>"oneVOnes: "&amp;$I$8&amp;","</f>
        <v>oneVOnes: 2,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0,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1,</v>
      </c>
      <c r="Q88" t="str">
        <f>"oneVOnes: "&amp;$I$10&amp;","</f>
        <v>oneVOnes: 2,</v>
      </c>
      <c r="R88" t="str">
        <f>"oneVOnes: "&amp;$I$2&amp;","</f>
        <v>oneVOnes: 0,</v>
      </c>
      <c r="S88" t="str">
        <f>"oneVOnes: "&amp;$I$19&amp;","</f>
        <v>oneVOnes: 3,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2,</v>
      </c>
      <c r="W88" t="str">
        <f>"oneVOnes: "&amp;$I$6&amp;","</f>
        <v>oneVOnes: 2,</v>
      </c>
    </row>
    <row r="89" spans="1:23" x14ac:dyDescent="0.3">
      <c r="A89" t="str">
        <f>"headers: "&amp;$J$4&amp;","</f>
        <v>headers: 4,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1,</v>
      </c>
      <c r="E89" t="str">
        <f>"headers: "&amp;$J$12&amp;","</f>
        <v>headers: 0,</v>
      </c>
      <c r="F89" t="str">
        <f>"headers: "&amp;$J$22&amp;","</f>
        <v>headers: 2,</v>
      </c>
      <c r="G89" t="str">
        <f>"headers: "&amp;$J$3&amp;","</f>
        <v>headers: 1,</v>
      </c>
      <c r="H89" t="str">
        <f>"headers: "&amp;$J$7&amp;","</f>
        <v>headers: 1,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2,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0,</v>
      </c>
      <c r="T89" t="str">
        <f>"headers: "&amp;$J$17&amp;","</f>
        <v>headers: 1,</v>
      </c>
      <c r="U89" t="str">
        <f>"headers: "&amp;$J$18&amp;","</f>
        <v>headers: 0,</v>
      </c>
      <c r="V89" t="str">
        <f>"headers: "&amp;$J$16&amp;","</f>
        <v>headers: 2,</v>
      </c>
      <c r="W89" t="str">
        <f>"headers: "&amp;$J$6&amp;","</f>
        <v>headers: 1,</v>
      </c>
    </row>
    <row r="90" spans="1:23" x14ac:dyDescent="0.3">
      <c r="A90" t="str">
        <f>"spEarned: "&amp;$K$4&amp;","</f>
        <v>spEarned: 3,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0,</v>
      </c>
      <c r="E90" t="str">
        <f>"spEarned: "&amp;$K$12&amp;","</f>
        <v>spEarned: 0,</v>
      </c>
      <c r="F90" t="str">
        <f>"spEarned: "&amp;$K$22&amp;","</f>
        <v>spEarned: 1,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1,</v>
      </c>
      <c r="M90" t="str">
        <f>"spEarned: "&amp;$K$21&amp;","</f>
        <v>spEarned: 1,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1,</v>
      </c>
      <c r="T90" t="str">
        <f>"spEarned: "&amp;$K$17&amp;","</f>
        <v>spEarned: 1,</v>
      </c>
      <c r="U90" t="str">
        <f>"spEarned: "&amp;$K$18&amp;","</f>
        <v>spEarned: 0,</v>
      </c>
      <c r="V90" t="str">
        <f>"spEarned: "&amp;$K$16&amp;","</f>
        <v>spEarned: 1,</v>
      </c>
      <c r="W90" t="str">
        <f>"spEarned: "&amp;$K$6&amp;","</f>
        <v>spEarned: 1,</v>
      </c>
    </row>
    <row r="91" spans="1:23" x14ac:dyDescent="0.3">
      <c r="A91" t="str">
        <f>"onTargetShots: "&amp;$M$4&amp;","</f>
        <v>onTargetShots: 0,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1,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1,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1,</v>
      </c>
      <c r="M91" t="str">
        <f>"onTargetShots: "&amp;$M$21&amp;","</f>
        <v>onTargetShots: 1,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3,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2,</v>
      </c>
      <c r="T91" t="str">
        <f>"onTargetShots: "&amp;$M$17&amp;","</f>
        <v>onTargetShots: 1,</v>
      </c>
      <c r="U91" t="str">
        <f>"onTargetShots: "&amp;$M$18&amp;","</f>
        <v>onTargetShots: 0,</v>
      </c>
      <c r="V91" t="str">
        <f>"onTargetShots: "&amp;$M$16&amp;","</f>
        <v>onTargetShots: 1,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0,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4,</v>
      </c>
      <c r="E92" t="str">
        <f>"offTargetShots: "&amp;$L$12&amp;","</f>
        <v>offTargetShots: 0,</v>
      </c>
      <c r="F92" t="str">
        <f>"offTargetShots: "&amp;$L$22&amp;","</f>
        <v>offTargetShots: 0,</v>
      </c>
      <c r="G92" t="str">
        <f>"offTargetShots: "&amp;$L$3&amp;","</f>
        <v>offTargetShots: 1,</v>
      </c>
      <c r="H92" t="str">
        <f>"offTargetShots: "&amp;$L$7&amp;","</f>
        <v>offTargetShots: 2,</v>
      </c>
      <c r="I92" t="str">
        <f>"offTargetShots: "&amp;$L$8&amp;","</f>
        <v>offTargetShots: 1,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1,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1,</v>
      </c>
      <c r="Q92" t="str">
        <f>"offTargetShots: "&amp;$L$10&amp;","</f>
        <v>offTargetShots: 3,</v>
      </c>
      <c r="R92" t="str">
        <f>"offTargetShots: "&amp;$L$2&amp;","</f>
        <v>offTargetShots: 0,</v>
      </c>
      <c r="S92" t="str">
        <f>"offTargetShots: "&amp;$L$19&amp;","</f>
        <v>offTargetShots: 0,</v>
      </c>
      <c r="T92" t="str">
        <f>"offTargetShots: "&amp;$L$17&amp;","</f>
        <v>offTargetShots: 3,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6,</v>
      </c>
      <c r="B96" t="str">
        <f>"totalActions: "&amp;$X$15&amp;","</f>
        <v>totalActions: 12,</v>
      </c>
      <c r="C96" t="str">
        <f>"totalActions: "&amp;$X$9&amp;","</f>
        <v>totalActions: 0,</v>
      </c>
      <c r="D96" t="str">
        <f>"totalActions: "&amp;$X$24&amp;","</f>
        <v>totalActions: 26,</v>
      </c>
      <c r="E96" t="str">
        <f>"totalActions: "&amp;$X$12&amp;","</f>
        <v>totalActions: 0,</v>
      </c>
      <c r="F96" t="str">
        <f>"totalActions: "&amp;$X$22&amp;","</f>
        <v>totalActions: 24,</v>
      </c>
      <c r="G96" t="str">
        <f>"totalActions: "&amp;$X$3&amp;","</f>
        <v>totalActions: 3,</v>
      </c>
      <c r="H96" t="str">
        <f>"totalActions: "&amp;$X$7&amp;","</f>
        <v>totalActions: 24,</v>
      </c>
      <c r="I96" t="str">
        <f>"totalActions: "&amp;$X$8&amp;","</f>
        <v>totalActions: 3,</v>
      </c>
      <c r="J96" t="str">
        <f>"totalActions: "&amp;$X$23&amp;","</f>
        <v>totalActions: 2,</v>
      </c>
      <c r="K96" t="str">
        <f>"totalActions: "&amp;$X$20&amp;","</f>
        <v>totalActions: 0,</v>
      </c>
      <c r="L96" t="str">
        <f>"totalActions: "&amp;$X$14&amp;","</f>
        <v>totalActions: 17,</v>
      </c>
      <c r="M96" t="str">
        <f>"totalActions: "&amp;$X$21&amp;","</f>
        <v>totalActions: 23,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10,</v>
      </c>
      <c r="Q96" t="str">
        <f>"totalActions: "&amp;$X$10&amp;","</f>
        <v>totalActions: 12,</v>
      </c>
      <c r="R96" t="str">
        <f>"totalActions: "&amp;$X$2&amp;","</f>
        <v>totalActions: 11,</v>
      </c>
      <c r="S96" t="str">
        <f>"totalActions: "&amp;$X$19&amp;","</f>
        <v>totalActions: 4,</v>
      </c>
      <c r="T96" t="str">
        <f>"totalActions: "&amp;$X$17&amp;","</f>
        <v>totalActions: 16,</v>
      </c>
      <c r="U96" t="str">
        <f>"totalActions: "&amp;$X$18&amp;","</f>
        <v>totalActions: 0,</v>
      </c>
      <c r="V96" t="str">
        <f>"totalActions: "&amp;$X$16&amp;","</f>
        <v>totalActions: 5,</v>
      </c>
      <c r="W96" t="str">
        <f>"totalActions: "&amp;$X$6&amp;","</f>
        <v>totalActions: 7,</v>
      </c>
    </row>
    <row r="97" spans="1:23" x14ac:dyDescent="0.3">
      <c r="A97" t="str">
        <f>"actionsPerMinute: "&amp;TEXT($Y$4,"0.00")&amp;","</f>
        <v>actionsPerMinute: 0.10,</v>
      </c>
      <c r="B97" t="str">
        <f>"actionsPerMinute: "&amp;TEXT($Y$15,"0.00")&amp;","</f>
        <v>actionsPerMinute: 0.16,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0.39,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0.29,</v>
      </c>
      <c r="G97" t="str">
        <f>"actionsPerMinute: "&amp;TEXT($Y$3,"0.00")&amp;","</f>
        <v>actionsPerMinute: 0.10,</v>
      </c>
      <c r="H97" t="str">
        <f>"actionsPerMinute: "&amp;TEXT($Y$7,"0.00")&amp;","</f>
        <v>actionsPerMinute: 0.29,</v>
      </c>
      <c r="I97" t="str">
        <f>"actionsPerMinute: "&amp;TEXT($Y$8,"0.00")&amp;","</f>
        <v>actionsPerMinute: 0.17,</v>
      </c>
      <c r="J97" t="str">
        <f>"actionsPerMinute: "&amp;TEXT($Y$23,"0.00")&amp;","</f>
        <v>actionsPerMinute: 0.29,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0.27,</v>
      </c>
      <c r="M97" t="str">
        <f>"actionsPerMinute: "&amp;TEXT($Y$21,"0.00")&amp;","</f>
        <v>actionsPerMinute: 0.34,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0.26,</v>
      </c>
      <c r="Q97" t="str">
        <f>"actionsPerMinute: "&amp;TEXT($Y$10,"0.00")&amp;","</f>
        <v>actionsPerMinute: 0.20,</v>
      </c>
      <c r="R97" t="str">
        <f>"actionsPerMinute: "&amp;TEXT($Y$2,"0.00")&amp;","</f>
        <v>actionsPerMinute: 0.33,</v>
      </c>
      <c r="S97" t="str">
        <f>"actionsPerMinute: "&amp;TEXT($Y$19,"0.00")&amp;","</f>
        <v>actionsPerMinute: 0.07,</v>
      </c>
      <c r="T97" t="str">
        <f>"actionsPerMinute: "&amp;TEXT($Y$17,"0.00")&amp;","</f>
        <v>actionsPerMinute: 0.25,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0.11,</v>
      </c>
      <c r="W97" t="str">
        <f>"actionsPerMinute: "&amp;TEXT($Y$6,"0.00")&amp;","</f>
        <v>actionsPerMinute: 0.27,</v>
      </c>
    </row>
    <row r="98" spans="1:23" x14ac:dyDescent="0.3">
      <c r="A98" t="str">
        <f>"tackles: "&amp;$P$4&amp;","</f>
        <v>tackles: 0,</v>
      </c>
      <c r="B98" t="str">
        <f>"tackles: "&amp;$P$15&amp;","</f>
        <v>tackles: 1,</v>
      </c>
      <c r="C98" t="str">
        <f>"tackles: "&amp;$P$9&amp;","</f>
        <v>tackles: 0,</v>
      </c>
      <c r="D98" t="str">
        <f>"tackles: "&amp;$P$24&amp;","</f>
        <v>tackles: 1,</v>
      </c>
      <c r="E98" t="str">
        <f>"tackles: "&amp;$P$12&amp;","</f>
        <v>tackles: 0,</v>
      </c>
      <c r="F98" t="str">
        <f>"tackles: "&amp;$P$22&amp;","</f>
        <v>tackles: 1,</v>
      </c>
      <c r="G98" t="str">
        <f>"tackles: "&amp;$P$3&amp;","</f>
        <v>tackles: 0,</v>
      </c>
      <c r="H98" t="str">
        <f>"tackles: "&amp;$P$7&amp;","</f>
        <v>tackles: 2,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7,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5,</v>
      </c>
      <c r="R98" t="str">
        <f>"tackles: "&amp;$P$2&amp;","</f>
        <v>tackles: 3,</v>
      </c>
      <c r="S98" t="str">
        <f>"tackles: "&amp;$P$19&amp;","</f>
        <v>tackles: 1,</v>
      </c>
      <c r="T98" t="str">
        <f>"tackles: "&amp;$P$17&amp;","</f>
        <v>tackles: 2,</v>
      </c>
      <c r="U98" t="str">
        <f>"tackles: "&amp;$P$18&amp;","</f>
        <v>tackles: 0,</v>
      </c>
      <c r="V98" t="str">
        <f>"tackles: "&amp;$P$16&amp;","</f>
        <v>tackles: 1,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0,</v>
      </c>
      <c r="B99" t="str">
        <f>"interceptions: "&amp;$Q$15&amp;","</f>
        <v>interceptions: 4,</v>
      </c>
      <c r="C99" t="str">
        <f>"interceptions: "&amp;$Q$9&amp;","</f>
        <v>interceptions: 0,</v>
      </c>
      <c r="D99" t="str">
        <f>"interceptions: "&amp;$Q$24&amp;","</f>
        <v>interceptions: 9,</v>
      </c>
      <c r="E99" t="str">
        <f>"interceptions: "&amp;$Q$12&amp;","</f>
        <v>interceptions: 0,</v>
      </c>
      <c r="F99" t="str">
        <f>"interceptions: "&amp;$Q$22&amp;","</f>
        <v>interceptions: 7,</v>
      </c>
      <c r="G99" t="str">
        <f>"interceptions: "&amp;$Q$3&amp;","</f>
        <v>interceptions: 1,</v>
      </c>
      <c r="H99" t="str">
        <f>"interceptions: "&amp;$Q$7&amp;","</f>
        <v>interceptions: 2,</v>
      </c>
      <c r="I99" t="str">
        <f>"interceptions: "&amp;$Q$8&amp;","</f>
        <v>interceptions: 1,</v>
      </c>
      <c r="J99" t="str">
        <f>"interceptions: "&amp;$Q$23&amp;","</f>
        <v>interceptions: 1,</v>
      </c>
      <c r="K99" t="str">
        <f>"interceptions: "&amp;$Q$20&amp;","</f>
        <v>interceptions: 0,</v>
      </c>
      <c r="L99" t="str">
        <f>"interceptions: "&amp;$Q$14&amp;","</f>
        <v>interceptions: 5,</v>
      </c>
      <c r="M99" t="str">
        <f>"interceptions: "&amp;$Q$21&amp;","</f>
        <v>interceptions: 3,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1,</v>
      </c>
      <c r="Q99" t="str">
        <f>"interceptions: "&amp;$Q$10&amp;","</f>
        <v>interceptions: 4,</v>
      </c>
      <c r="R99" t="str">
        <f>"interceptions: "&amp;$Q$2&amp;","</f>
        <v>interceptions: 2,</v>
      </c>
      <c r="S99" t="str">
        <f>"interceptions: "&amp;$Q$19&amp;","</f>
        <v>interceptions: 1,</v>
      </c>
      <c r="T99" t="str">
        <f>"interceptions: "&amp;$Q$17&amp;","</f>
        <v>interceptions: 1,</v>
      </c>
      <c r="U99" t="str">
        <f>"interceptions: "&amp;$Q$18&amp;","</f>
        <v>interceptions: 0,</v>
      </c>
      <c r="V99" t="str">
        <f>"interceptions: "&amp;$Q$16&amp;","</f>
        <v>interceptions: 0,</v>
      </c>
      <c r="W99" t="str">
        <f>"interceptions: "&amp;$Q$6&amp;","</f>
        <v>interceptions: 1,</v>
      </c>
    </row>
    <row r="100" spans="1:23" x14ac:dyDescent="0.3">
      <c r="A100" t="str">
        <f>"fhRegains: "&amp;$R$4&amp;","</f>
        <v>fhRegains: 0,</v>
      </c>
      <c r="B100" t="str">
        <f>"fhRegains: "&amp;$R$15&amp;","</f>
        <v>fhRegains: 3,</v>
      </c>
      <c r="C100" t="str">
        <f>"fhRegains: "&amp;$R$9&amp;","</f>
        <v>fhRegains: 0,</v>
      </c>
      <c r="D100" t="str">
        <f>"fhRegains: "&amp;$R$24&amp;","</f>
        <v>fhRegains: 5,</v>
      </c>
      <c r="E100" t="str">
        <f>"fhRegains: "&amp;$R$12&amp;","</f>
        <v>fhRegains: 0,</v>
      </c>
      <c r="F100" t="str">
        <f>"fhRegains: "&amp;$R$22&amp;","</f>
        <v>fhRegains: 0,</v>
      </c>
      <c r="G100" t="str">
        <f>"fhRegains: "&amp;$R$3&amp;","</f>
        <v>fhRegains: 0,</v>
      </c>
      <c r="H100" t="str">
        <f>"fhRegains: "&amp;$R$7&amp;","</f>
        <v>fhRegains: 4,</v>
      </c>
      <c r="I100" t="str">
        <f>"fhRegains: "&amp;$R$8&amp;","</f>
        <v>fhRegains: 1,</v>
      </c>
      <c r="J100" t="str">
        <f>"fhRegains: "&amp;$R$23&amp;","</f>
        <v>fhRegains: 1,</v>
      </c>
      <c r="K100" t="str">
        <f>"fhRegains: "&amp;$R$20&amp;","</f>
        <v>fhRegains: 0,</v>
      </c>
      <c r="L100" t="str">
        <f>"fhRegains: "&amp;$R$14&amp;","</f>
        <v>fhRegains: 4,</v>
      </c>
      <c r="M100" t="str">
        <f>"fhRegains: "&amp;$R$21&amp;","</f>
        <v>fhRegains: 2,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1,</v>
      </c>
      <c r="Q100" t="str">
        <f>"fhRegains: "&amp;$R$10&amp;","</f>
        <v>fhRegains: 0,</v>
      </c>
      <c r="R100" t="str">
        <f>"fhRegains: "&amp;$R$2&amp;","</f>
        <v>fhRegains: 2,</v>
      </c>
      <c r="S100" t="str">
        <f>"fhRegains: "&amp;$R$19&amp;","</f>
        <v>fhRegains: 0,</v>
      </c>
      <c r="T100" t="str">
        <f>"fhRegains: "&amp;$R$17&amp;","</f>
        <v>fhRegains: 4,</v>
      </c>
      <c r="U100" t="str">
        <f>"fhRegains: "&amp;$R$18&amp;","</f>
        <v>fhRegains: 0,</v>
      </c>
      <c r="V100" t="str">
        <f>"fhRegains: "&amp;$R$16&amp;","</f>
        <v>fhRegains: 2,</v>
      </c>
      <c r="W100" t="str">
        <f>"fhRegains: "&amp;$R$6&amp;","</f>
        <v>fhRegains: 1,</v>
      </c>
    </row>
    <row r="101" spans="1:23" x14ac:dyDescent="0.3">
      <c r="A101" t="str">
        <f>"blocks: "&amp;$S$4&amp;","</f>
        <v>blocks: 0,</v>
      </c>
      <c r="B101" t="str">
        <f>"blocks: "&amp;$S$15&amp;","</f>
        <v>blocks: 0,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0,</v>
      </c>
      <c r="G101" t="str">
        <f>"blocks: "&amp;$S$3&amp;","</f>
        <v>blocks: 0,</v>
      </c>
      <c r="H101" t="str">
        <f>"blocks: "&amp;$S$7&amp;","</f>
        <v>blocks: 0,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1,</v>
      </c>
      <c r="C102" t="str">
        <f>"clearances: "&amp;$T$9&amp;","</f>
        <v>clearances: 0,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1,</v>
      </c>
      <c r="G102" t="str">
        <f>"clearances: "&amp;$T$3&amp;","</f>
        <v>clearances: 0,</v>
      </c>
      <c r="H102" t="str">
        <f>"clearances: "&amp;$T$7&amp;","</f>
        <v>clearances: 0,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0,</v>
      </c>
      <c r="M102" t="str">
        <f>"clearances: "&amp;$T$21&amp;","</f>
        <v>clearances: 1,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1,</v>
      </c>
      <c r="C103" t="str">
        <f>"separations: "&amp;$U$9&amp;","</f>
        <v>separations: 0,</v>
      </c>
      <c r="D103" t="str">
        <f>"separations: "&amp;$U$24&amp;","</f>
        <v>separations: 0,</v>
      </c>
      <c r="E103" t="str">
        <f>"separations: "&amp;$U$12&amp;","</f>
        <v>separations: 0,</v>
      </c>
      <c r="F103" t="str">
        <f>"separations: "&amp;$U$22&amp;","</f>
        <v>separations: 1,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0,</v>
      </c>
      <c r="M103" t="str">
        <f>"separations: "&amp;$U$21&amp;","</f>
        <v>separations: 0,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2,</v>
      </c>
      <c r="Q103" t="str">
        <f>"separations: "&amp;$U$10&amp;","</f>
        <v>separations: 1,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2,</v>
      </c>
      <c r="U103" t="str">
        <f>"separations: "&amp;$U$18&amp;","</f>
        <v>separations: 0,</v>
      </c>
      <c r="V103" t="str">
        <f>"separations: "&amp;$U$16&amp;","</f>
        <v>separations: 1,</v>
      </c>
      <c r="W103" t="str">
        <f>"separations: "&amp;$U$6&amp;","</f>
        <v>separations: 1,</v>
      </c>
    </row>
    <row r="104" spans="1:23" x14ac:dyDescent="0.3">
      <c r="A104" t="str">
        <f>"headers: "&amp;$V$4&amp;","</f>
        <v>headers: 2,</v>
      </c>
      <c r="B104" t="str">
        <f>"headers: "&amp;$V$15&amp;","</f>
        <v>headers: 1,</v>
      </c>
      <c r="C104" t="str">
        <f>"headers: "&amp;$V$9&amp;","</f>
        <v>headers: 0,</v>
      </c>
      <c r="D104" t="str">
        <f>"headers: "&amp;$V$24&amp;","</f>
        <v>headers: 6,</v>
      </c>
      <c r="E104" t="str">
        <f>"headers: "&amp;$V$12&amp;","</f>
        <v>headers: 0,</v>
      </c>
      <c r="F104" t="str">
        <f>"headers: "&amp;$V$22&amp;","</f>
        <v>headers: 11,</v>
      </c>
      <c r="G104" t="str">
        <f>"headers: "&amp;$V$3&amp;","</f>
        <v>headers: 0,</v>
      </c>
      <c r="H104" t="str">
        <f>"headers: "&amp;$V$7&amp;","</f>
        <v>headers: 7,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1,</v>
      </c>
      <c r="M104" t="str">
        <f>"headers: "&amp;$V$21&amp;","</f>
        <v>headers: 6,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2,</v>
      </c>
      <c r="Q104" t="str">
        <f>"headers: "&amp;$V$10&amp;","</f>
        <v>headers: 1,</v>
      </c>
      <c r="R104" t="str">
        <f>"headers: "&amp;$V$2&amp;","</f>
        <v>headers: 2,</v>
      </c>
      <c r="S104" t="str">
        <f>"headers: "&amp;$V$19&amp;","</f>
        <v>headers: 0,</v>
      </c>
      <c r="T104" t="str">
        <f>"headers: "&amp;$V$17&amp;","</f>
        <v>headers: 2,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4,</v>
      </c>
      <c r="B105" t="str">
        <f>"stopForwardCA: "&amp;$W$15&amp;","</f>
        <v>stopForwardCA: 1,</v>
      </c>
      <c r="C105" t="str">
        <f>"stopForwardCA: "&amp;$W$9&amp;","</f>
        <v>stopForwardCA: 0,</v>
      </c>
      <c r="D105" t="str">
        <f>"stopForwardCA: "&amp;$W$24&amp;","</f>
        <v>stopForwardCA: 5,</v>
      </c>
      <c r="E105" t="str">
        <f>"stopForwardCA: "&amp;$W$12&amp;","</f>
        <v>stopForwardCA: 0,</v>
      </c>
      <c r="F105" t="str">
        <f>"stopForwardCA: "&amp;$W$22&amp;","</f>
        <v>stopForwardCA: 3,</v>
      </c>
      <c r="G105" t="str">
        <f>"stopForwardCA: "&amp;$W$3&amp;","</f>
        <v>stopForwardCA: 2,</v>
      </c>
      <c r="H105" t="str">
        <f>"stopForwardCA: "&amp;$W$7&amp;","</f>
        <v>stopForwardCA: 9,</v>
      </c>
      <c r="I105" t="str">
        <f>"stopForwardCA: "&amp;$W$8&amp;","</f>
        <v>stopForwardCA: 1,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7,</v>
      </c>
      <c r="M105" t="str">
        <f>"stopForwardCA: "&amp;$W$21&amp;","</f>
        <v>stopForwardCA: 4,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4,</v>
      </c>
      <c r="Q105" t="str">
        <f>"stopForwardCA: "&amp;$W$10&amp;","</f>
        <v>stopForwardCA: 1,</v>
      </c>
      <c r="R105" t="str">
        <f>"stopForwardCA: "&amp;$W$2&amp;","</f>
        <v>stopForwardCA: 2,</v>
      </c>
      <c r="S105" t="str">
        <f>"stopForwardCA: "&amp;$W$19&amp;","</f>
        <v>stopForwardCA: 2,</v>
      </c>
      <c r="T105" t="str">
        <f>"stopForwardCA: "&amp;$W$17&amp;","</f>
        <v>stopForwardCA: 5,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4,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63,</v>
      </c>
      <c r="B109" t="str">
        <f>"minutes: "&amp;B$15&amp;","</f>
        <v>minutes: 76,</v>
      </c>
      <c r="C109" t="str">
        <f>"minutes: "&amp;B$9&amp;","</f>
        <v>minutes: 0,</v>
      </c>
      <c r="D109" t="str">
        <f>"minutes: "&amp;B$24&amp;","</f>
        <v>minutes: 67,</v>
      </c>
      <c r="E109" t="str">
        <f>"minutes: "&amp;B$12&amp;","</f>
        <v>minutes: 0,</v>
      </c>
      <c r="F109" t="str">
        <f>"minutes: "&amp;B$22&amp;","</f>
        <v>minutes: 84,</v>
      </c>
      <c r="G109" t="str">
        <f>"minutes: "&amp;B$3&amp;","</f>
        <v>minutes: 29,</v>
      </c>
      <c r="H109" t="str">
        <f>"minutes: "&amp;B$7&amp;","</f>
        <v>minutes: 83,</v>
      </c>
      <c r="I109" t="str">
        <f>"minutes: "&amp;B$8&amp;","</f>
        <v>minutes: 18,</v>
      </c>
      <c r="J109" t="str">
        <f>"minutes: "&amp;B$23&amp;","</f>
        <v>minutes: 7,</v>
      </c>
      <c r="K109" t="str">
        <f>"minutes: "&amp;B$20&amp;","</f>
        <v>minutes: 0,</v>
      </c>
      <c r="L109" t="str">
        <f>"minutes: "&amp;B$14&amp;","</f>
        <v>minutes: 62,</v>
      </c>
      <c r="M109" t="str">
        <f>"minutes: "&amp;B$21&amp;","</f>
        <v>minutes: 68,</v>
      </c>
      <c r="N109" t="str">
        <f>"minutes: "&amp;B$11&amp;","</f>
        <v>minutes: 0,</v>
      </c>
      <c r="O109" t="str">
        <f>"minutes: "&amp;B$13&amp;","</f>
        <v>minutes: 11,</v>
      </c>
      <c r="P109" t="str">
        <f>"minutes: "&amp;B$5&amp;","</f>
        <v>minutes: 39,</v>
      </c>
      <c r="Q109" t="str">
        <f>"minutes: "&amp;B$10&amp;","</f>
        <v>minutes: 59,</v>
      </c>
      <c r="R109" t="str">
        <f>"minutes: "&amp;B$2&amp;","</f>
        <v>minutes: 33,</v>
      </c>
      <c r="S109" t="str">
        <f>"minutes: "&amp;B$19&amp;","</f>
        <v>minutes: 58,</v>
      </c>
      <c r="T109" t="str">
        <f>"minutes: "&amp;B$17&amp;","</f>
        <v>minutes: 65,</v>
      </c>
      <c r="U109" t="str">
        <f>"minutes: "&amp;B$18&amp;","</f>
        <v>minutes: 0,</v>
      </c>
      <c r="V109" t="str">
        <f>"minutes: "&amp;B$16&amp;","</f>
        <v>minutes: 46,</v>
      </c>
      <c r="W109" t="str">
        <f>"minutes: "&amp;B$6&amp;","</f>
        <v>minutes: 26,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1,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1,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1,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1,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1,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1,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1,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0,</v>
      </c>
      <c r="B113" t="str">
        <f>"startCA: "&amp;$F$15&amp;","</f>
        <v>startCA: 5,</v>
      </c>
      <c r="C113" t="str">
        <f>"startCA: "&amp;$F$9&amp;","</f>
        <v>startCA: 0,</v>
      </c>
      <c r="D113" t="str">
        <f>"startCA: "&amp;$F$24&amp;","</f>
        <v>startCA: 7,</v>
      </c>
      <c r="E113" t="str">
        <f>"startCA: "&amp;$F$12&amp;","</f>
        <v>startCA: 0,</v>
      </c>
      <c r="F113" t="str">
        <f>"startCA: "&amp;$F$22&amp;","</f>
        <v>startCA: 2,</v>
      </c>
      <c r="G113" t="str">
        <f>"startCA: "&amp;$F$3&amp;","</f>
        <v>startCA: 1,</v>
      </c>
      <c r="H113" t="str">
        <f>"startCA: "&amp;$F$7&amp;","</f>
        <v>startCA: 0,</v>
      </c>
      <c r="I113" t="str">
        <f>"startCA: "&amp;$F$8&amp;","</f>
        <v>startCA: 2,</v>
      </c>
      <c r="J113" t="str">
        <f>"startCA: "&amp;$F$23&amp;","</f>
        <v>startCA: 1,</v>
      </c>
      <c r="K113" t="str">
        <f>"startCA: "&amp;$F$20&amp;","</f>
        <v>startCA: 0,</v>
      </c>
      <c r="L113" t="str">
        <f>"startCA: "&amp;$F$14&amp;","</f>
        <v>startCA: 1,</v>
      </c>
      <c r="M113" t="str">
        <f>"startCA: "&amp;$F$21&amp;","</f>
        <v>startCA: 6,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1,</v>
      </c>
      <c r="Q113" t="str">
        <f>"startCA: "&amp;$F$10&amp;","</f>
        <v>startCA: 2,</v>
      </c>
      <c r="R113" t="str">
        <f>"startCA: "&amp;$F$2&amp;","</f>
        <v>startCA: 3,</v>
      </c>
      <c r="S113" t="str">
        <f>"startCA: "&amp;$F$19&amp;","</f>
        <v>startCA: 1,</v>
      </c>
      <c r="T113" t="str">
        <f>"startCA: "&amp;$F$17&amp;","</f>
        <v>startCA: 5,</v>
      </c>
      <c r="U113" t="str">
        <f>"startCA: "&amp;$F$18&amp;","</f>
        <v>startCA: 0,</v>
      </c>
      <c r="V113" t="str">
        <f>"startCA: "&amp;$F$16&amp;","</f>
        <v>startCA: 1,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1,</v>
      </c>
      <c r="B115" t="str">
        <f>"effCrosses: "&amp;$H$15&amp;","</f>
        <v>effCrosses: 1,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1,</v>
      </c>
      <c r="G115" t="str">
        <f>"effCrosses: "&amp;$H$3&amp;","</f>
        <v>effCrosses: 1,</v>
      </c>
      <c r="H115" t="str">
        <f>"effCrosses: "&amp;$H$7&amp;","</f>
        <v>effCrosses: 2,</v>
      </c>
      <c r="I115" t="str">
        <f>"effCrosses: "&amp;$H$8&amp;","</f>
        <v>effCrosses: 0,</v>
      </c>
      <c r="J115" t="str">
        <f>"effCrosses: "&amp;$H$23&amp;","</f>
        <v>effCrosses: 1,</v>
      </c>
      <c r="K115" t="str">
        <f>"effCrosses: "&amp;$H$20&amp;","</f>
        <v>effCrosses: 0,</v>
      </c>
      <c r="L115" t="str">
        <f>"effCrosses: "&amp;$H$14&amp;","</f>
        <v>effCrosses: 2,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2,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1,</v>
      </c>
      <c r="T115" t="str">
        <f>"effCrosses: "&amp;$H$17&amp;","</f>
        <v>effCrosses: 2,</v>
      </c>
      <c r="U115" t="str">
        <f>"effCrosses: "&amp;$H$18&amp;","</f>
        <v>effCrosses: 0,</v>
      </c>
      <c r="V115" t="str">
        <f>"effCrosses: "&amp;$H$16&amp;","</f>
        <v>effCrosses: 1,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1,</v>
      </c>
      <c r="C116" t="str">
        <f>"oneVones: "&amp;$I$9&amp;","</f>
        <v>oneVones: 0,</v>
      </c>
      <c r="D116" t="str">
        <f>"oneVones: "&amp;$I$24&amp;","</f>
        <v>oneVones: 5,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2,</v>
      </c>
      <c r="I116" t="str">
        <f>"oneVones: "&amp;$I$8&amp;","</f>
        <v>oneVones: 2,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0,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1,</v>
      </c>
      <c r="Q116" t="str">
        <f>"oneVones: "&amp;$I$10&amp;","</f>
        <v>oneVones: 2,</v>
      </c>
      <c r="R116" t="str">
        <f>"oneVones: "&amp;$I$2&amp;","</f>
        <v>oneVones: 0,</v>
      </c>
      <c r="S116" t="str">
        <f>"oneVones: "&amp;$I$19&amp;","</f>
        <v>oneVones: 3,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2,</v>
      </c>
      <c r="W116" t="str">
        <f>"oneVones: "&amp;$I$6&amp;","</f>
        <v>oneVones: 2,</v>
      </c>
    </row>
    <row r="117" spans="1:23" x14ac:dyDescent="0.3">
      <c r="A117" t="str">
        <f>"attHeaders: "&amp;$J$4&amp;","</f>
        <v>attHeaders: 4,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1,</v>
      </c>
      <c r="E117" t="str">
        <f>"attHeaders: "&amp;$J$12&amp;","</f>
        <v>attHeaders: 0,</v>
      </c>
      <c r="F117" t="str">
        <f>"attHeaders: "&amp;$J$22&amp;","</f>
        <v>attHeaders: 2,</v>
      </c>
      <c r="G117" t="str">
        <f>"attHeaders: "&amp;$J$3&amp;","</f>
        <v>attHeaders: 1,</v>
      </c>
      <c r="H117" t="str">
        <f>"attHeaders: "&amp;$J$7&amp;","</f>
        <v>attHeaders: 1,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2,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0,</v>
      </c>
      <c r="T117" t="str">
        <f>"attHeaders: "&amp;$J$17&amp;","</f>
        <v>attHeaders: 1,</v>
      </c>
      <c r="U117" t="str">
        <f>"attHeaders: "&amp;$J$18&amp;","</f>
        <v>attHeaders: 0,</v>
      </c>
      <c r="V117" t="str">
        <f>"attHeaders: "&amp;$J$16&amp;","</f>
        <v>attHeaders: 2,</v>
      </c>
      <c r="W117" t="str">
        <f>"attHeaders: "&amp;$J$6&amp;","</f>
        <v>attHeaders: 1,</v>
      </c>
    </row>
    <row r="118" spans="1:23" x14ac:dyDescent="0.3">
      <c r="A118" t="str">
        <f>"spEarned: "&amp;$K$4&amp;","</f>
        <v>spEarned: 3,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0,</v>
      </c>
      <c r="E118" t="str">
        <f>"spEarned: "&amp;$K$12&amp;","</f>
        <v>spEarned: 0,</v>
      </c>
      <c r="F118" t="str">
        <f>"spEarned: "&amp;$K$22&amp;","</f>
        <v>spEarned: 1,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1,</v>
      </c>
      <c r="M118" t="str">
        <f>"spEarned: "&amp;$K$21&amp;","</f>
        <v>spEarned: 1,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1,</v>
      </c>
      <c r="T118" t="str">
        <f>"spEarned: "&amp;$K$17&amp;","</f>
        <v>spEarned: 1,</v>
      </c>
      <c r="U118" t="str">
        <f>"spEarned: "&amp;$K$18&amp;","</f>
        <v>spEarned: 0,</v>
      </c>
      <c r="V118" t="str">
        <f>"spEarned: "&amp;$K$16&amp;","</f>
        <v>spEarned: 1,</v>
      </c>
      <c r="W118" t="str">
        <f>"spEarned: "&amp;$K$6&amp;","</f>
        <v>spEarned: 1,</v>
      </c>
    </row>
    <row r="119" spans="1:23" x14ac:dyDescent="0.3">
      <c r="A119" t="str">
        <f>"offTargetShots: "&amp;$L$4&amp;","</f>
        <v>offTargetShots: 0,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4,</v>
      </c>
      <c r="E119" t="str">
        <f>"offTargetShots: "&amp;$L$12&amp;","</f>
        <v>offTargetShots: 0,</v>
      </c>
      <c r="F119" t="str">
        <f>"offTargetShots: "&amp;$L$22&amp;","</f>
        <v>offTargetShots: 0,</v>
      </c>
      <c r="G119" t="str">
        <f>"offTargetShots: "&amp;$L$3&amp;","</f>
        <v>offTargetShots: 1,</v>
      </c>
      <c r="H119" t="str">
        <f>"offTargetShots: "&amp;$L$7&amp;","</f>
        <v>offTargetShots: 2,</v>
      </c>
      <c r="I119" t="str">
        <f>"offTargetShots: "&amp;$L$8&amp;","</f>
        <v>offTargetShots: 1,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1,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1,</v>
      </c>
      <c r="Q119" t="str">
        <f>"offTargetShots: "&amp;$L$10&amp;","</f>
        <v>offTargetShots: 3,</v>
      </c>
      <c r="R119" t="str">
        <f>"offTargetShots: "&amp;$L$2&amp;","</f>
        <v>offTargetShots: 0,</v>
      </c>
      <c r="S119" t="str">
        <f>"offTargetShots: "&amp;$L$19&amp;","</f>
        <v>offTargetShots: 0,</v>
      </c>
      <c r="T119" t="str">
        <f>"offTargetShots: "&amp;$L$17&amp;","</f>
        <v>offTargetShots: 3,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0,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1,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1,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1,</v>
      </c>
      <c r="M120" t="str">
        <f>"onTargetShots: "&amp;$M$21&amp;","</f>
        <v>onTargetShots: 1,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3,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2,</v>
      </c>
      <c r="T120" t="str">
        <f>"onTargetShots: "&amp;$M$17&amp;","</f>
        <v>onTargetShots: 1,</v>
      </c>
      <c r="U120" t="str">
        <f>"onTargetShots: "&amp;$M$18&amp;","</f>
        <v>onTargetShots: 0,</v>
      </c>
      <c r="V120" t="str">
        <f>"onTargetShots: "&amp;$M$16&amp;","</f>
        <v>onTargetShots: 1,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0.13,</v>
      </c>
      <c r="B121" t="str">
        <f>"totalOffActMin: "&amp;TEXT($O$15,"0.00")&amp;","</f>
        <v>totalOffActMin: 0.09,</v>
      </c>
      <c r="C121" t="str">
        <f>"totalOffActMin: "&amp;TEXT($O$9,"0.00")&amp;","</f>
        <v>totalOffActMin: 0.00,</v>
      </c>
      <c r="D121" t="str">
        <f>"totalOffActMin: "&amp;TEXT($O$24,"0.00")&amp;","</f>
        <v>totalOffActMin: 0.25,</v>
      </c>
      <c r="E121" t="str">
        <f>"totalOffActMin: "&amp;TEXT($O$12,"0.00")&amp;","</f>
        <v>totalOffActMin: 0.00,</v>
      </c>
      <c r="F121" t="str">
        <f>"totalOffActMin: "&amp;TEXT($O$22,"0.00")&amp;","</f>
        <v>totalOffActMin: 0.10,</v>
      </c>
      <c r="G121" t="str">
        <f>"totalOffActMin: "&amp;TEXT($O$3,"0.00")&amp;","</f>
        <v>totalOffActMin: 0.14,</v>
      </c>
      <c r="H121" t="str">
        <f>"totalOffActMin: "&amp;TEXT($O$7,"0.00")&amp;","</f>
        <v>totalOffActMin: 0.08,</v>
      </c>
      <c r="I121" t="str">
        <f>"totalOffActMin: "&amp;TEXT($O$8,"0.00")&amp;","</f>
        <v>totalOffActMin: 0.33,</v>
      </c>
      <c r="J121" t="str">
        <f>"totalOffActMin: "&amp;TEXT($O$23,"0.00")&amp;","</f>
        <v>totalOffActMin: 0.57,</v>
      </c>
      <c r="K121" t="str">
        <f>"totalOffActMin: "&amp;TEXT($O$20,"0.00")&amp;","</f>
        <v>totalOffActMin: 0.00,</v>
      </c>
      <c r="L121" t="str">
        <f>"totalOffActMin: "&amp;TEXT($O$14,"0.00")&amp;","</f>
        <v>totalOffActMin: 0.08,</v>
      </c>
      <c r="M121" t="str">
        <f>"totalOffActMin: "&amp;TEXT($O$21,"0.00")&amp;","</f>
        <v>totalOffActMin: 0.18,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0.26,</v>
      </c>
      <c r="Q121" t="str">
        <f>"totalOffActMin: "&amp;TEXT($O$10,"0.00")&amp;","</f>
        <v>totalOffActMin: 0.15,</v>
      </c>
      <c r="R121" t="str">
        <f>"totalOffActMin: "&amp;TEXT($O$2,"0.00")&amp;","</f>
        <v>totalOffActMin: 0.09,</v>
      </c>
      <c r="S121" t="str">
        <f>"totalOffActMin: "&amp;TEXT($O$19,"0.00")&amp;","</f>
        <v>totalOffActMin: 0.17,</v>
      </c>
      <c r="T121" t="str">
        <f>"totalOffActMin: "&amp;TEXT($O$17,"0.00")&amp;","</f>
        <v>totalOffActMin: 0.22,</v>
      </c>
      <c r="U121" t="str">
        <f>"totalOffActMin: "&amp;TEXT($O$18,"0.00")&amp;","</f>
        <v>totalOffActMin: 0.00,</v>
      </c>
      <c r="V121" t="str">
        <f>"totalOffActMin: "&amp;TEXT($O$16,"0.00")&amp;","</f>
        <v>totalOffActMin: 0.20,</v>
      </c>
      <c r="W121" t="str">
        <f>"totalOffActMin: "&amp;TEXT($O$6,"0.00")&amp;","</f>
        <v>totalOffActMin: 0.15,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1,</v>
      </c>
      <c r="C122" t="str">
        <f>"tackles: "&amp;$P$9&amp;","</f>
        <v>tackles: 0,</v>
      </c>
      <c r="D122" t="str">
        <f>"tackles: "&amp;$P$24&amp;","</f>
        <v>tackles: 1,</v>
      </c>
      <c r="E122" t="str">
        <f>"tackles: "&amp;$P$12&amp;","</f>
        <v>tackles: 0,</v>
      </c>
      <c r="F122" t="str">
        <f>"tackles: "&amp;$P$22&amp;","</f>
        <v>tackles: 1,</v>
      </c>
      <c r="G122" t="str">
        <f>"tackles: "&amp;$P$3&amp;","</f>
        <v>tackles: 0,</v>
      </c>
      <c r="H122" t="str">
        <f>"tackles: "&amp;$P$7&amp;","</f>
        <v>tackles: 2,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7,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5,</v>
      </c>
      <c r="R122" t="str">
        <f>"tackles: "&amp;$P$2&amp;","</f>
        <v>tackles: 3,</v>
      </c>
      <c r="S122" t="str">
        <f>"tackles: "&amp;$P$19&amp;","</f>
        <v>tackles: 1,</v>
      </c>
      <c r="T122" t="str">
        <f>"tackles: "&amp;$P$17&amp;","</f>
        <v>tackles: 2,</v>
      </c>
      <c r="U122" t="str">
        <f>"tackles: "&amp;$P$18&amp;","</f>
        <v>tackles: 0,</v>
      </c>
      <c r="V122" t="str">
        <f>"tackles: "&amp;$P$16&amp;","</f>
        <v>tackles: 1,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0,</v>
      </c>
      <c r="B123" t="str">
        <f>"interceptions: "&amp;$Q$15&amp;","</f>
        <v>interceptions: 4,</v>
      </c>
      <c r="C123" t="str">
        <f>"interceptions: "&amp;$Q$9&amp;","</f>
        <v>interceptions: 0,</v>
      </c>
      <c r="D123" t="str">
        <f>"interceptions: "&amp;$Q$24&amp;","</f>
        <v>interceptions: 9,</v>
      </c>
      <c r="E123" t="str">
        <f>"interceptions: "&amp;$Q$12&amp;","</f>
        <v>interceptions: 0,</v>
      </c>
      <c r="F123" t="str">
        <f>"interceptions: "&amp;$Q$22&amp;","</f>
        <v>interceptions: 7,</v>
      </c>
      <c r="G123" t="str">
        <f>"interceptions: "&amp;$Q$3&amp;","</f>
        <v>interceptions: 1,</v>
      </c>
      <c r="H123" t="str">
        <f>"interceptions: "&amp;$Q$7&amp;","</f>
        <v>interceptions: 2,</v>
      </c>
      <c r="I123" t="str">
        <f>"interceptions: "&amp;$Q$8&amp;","</f>
        <v>interceptions: 1,</v>
      </c>
      <c r="J123" t="str">
        <f>"interceptions: "&amp;$Q$23&amp;","</f>
        <v>interceptions: 1,</v>
      </c>
      <c r="K123" t="str">
        <f>"interceptions: "&amp;$Q$20&amp;","</f>
        <v>interceptions: 0,</v>
      </c>
      <c r="L123" t="str">
        <f>"interceptions: "&amp;$Q$14&amp;","</f>
        <v>interceptions: 5,</v>
      </c>
      <c r="M123" t="str">
        <f>"interceptions: "&amp;$Q$21&amp;","</f>
        <v>interceptions: 3,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1,</v>
      </c>
      <c r="Q123" t="str">
        <f>"interceptions: "&amp;$Q$10&amp;","</f>
        <v>interceptions: 4,</v>
      </c>
      <c r="R123" t="str">
        <f>"interceptions: "&amp;$Q$2&amp;","</f>
        <v>interceptions: 2,</v>
      </c>
      <c r="S123" t="str">
        <f>"interceptions: "&amp;$Q$19&amp;","</f>
        <v>interceptions: 1,</v>
      </c>
      <c r="T123" t="str">
        <f>"interceptions: "&amp;$Q$17&amp;","</f>
        <v>interceptions: 1,</v>
      </c>
      <c r="U123" t="str">
        <f>"interceptions: "&amp;$Q$18&amp;","</f>
        <v>interceptions: 0,</v>
      </c>
      <c r="V123" t="str">
        <f>"interceptions: "&amp;$Q$16&amp;","</f>
        <v>interceptions: 0,</v>
      </c>
      <c r="W123" t="str">
        <f>"interceptions: "&amp;$Q$6&amp;","</f>
        <v>interceptions: 1,</v>
      </c>
    </row>
    <row r="124" spans="1:23" x14ac:dyDescent="0.3">
      <c r="A124" t="str">
        <f>"fhRegains: "&amp;$R$4&amp;","</f>
        <v>fhRegains: 0,</v>
      </c>
      <c r="B124" t="str">
        <f>"fhRegains: "&amp;$R$15&amp;","</f>
        <v>fhRegains: 3,</v>
      </c>
      <c r="C124" t="str">
        <f>"fhRegains: "&amp;$R$9&amp;","</f>
        <v>fhRegains: 0,</v>
      </c>
      <c r="D124" t="str">
        <f>"fhRegains: "&amp;$R$24&amp;","</f>
        <v>fhRegains: 5,</v>
      </c>
      <c r="E124" t="str">
        <f>"fhRegains: "&amp;$R$12&amp;","</f>
        <v>fhRegains: 0,</v>
      </c>
      <c r="F124" t="str">
        <f>"fhRegains: "&amp;$R$22&amp;","</f>
        <v>fhRegains: 0,</v>
      </c>
      <c r="G124" t="str">
        <f>"fhRegains: "&amp;$R$3&amp;","</f>
        <v>fhRegains: 0,</v>
      </c>
      <c r="H124" t="str">
        <f>"fhRegains: "&amp;$R$7&amp;","</f>
        <v>fhRegains: 4,</v>
      </c>
      <c r="I124" t="str">
        <f>"fhRegains: "&amp;$R$8&amp;","</f>
        <v>fhRegains: 1,</v>
      </c>
      <c r="J124" t="str">
        <f>"fhRegains: "&amp;$R$23&amp;","</f>
        <v>fhRegains: 1,</v>
      </c>
      <c r="K124" t="str">
        <f>"fhRegains: "&amp;$R$20&amp;","</f>
        <v>fhRegains: 0,</v>
      </c>
      <c r="L124" t="str">
        <f>"fhRegains: "&amp;$R$14&amp;","</f>
        <v>fhRegains: 4,</v>
      </c>
      <c r="M124" t="str">
        <f>"fhRegains: "&amp;$R$21&amp;","</f>
        <v>fhRegains: 2,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1,</v>
      </c>
      <c r="Q124" t="str">
        <f>"fhRegains: "&amp;$R$10&amp;","</f>
        <v>fhRegains: 0,</v>
      </c>
      <c r="R124" t="str">
        <f>"fhRegains: "&amp;$R$2&amp;","</f>
        <v>fhRegains: 2,</v>
      </c>
      <c r="S124" t="str">
        <f>"fhRegains: "&amp;$R$19&amp;","</f>
        <v>fhRegains: 0,</v>
      </c>
      <c r="T124" t="str">
        <f>"fhRegains: "&amp;$R$17&amp;","</f>
        <v>fhRegains: 4,</v>
      </c>
      <c r="U124" t="str">
        <f>"fhRegains: "&amp;$R$18&amp;","</f>
        <v>fhRegains: 0,</v>
      </c>
      <c r="V124" t="str">
        <f>"fhRegains: "&amp;$R$16&amp;","</f>
        <v>fhRegains: 2,</v>
      </c>
      <c r="W124" t="str">
        <f>"fhRegains: "&amp;$R$6&amp;","</f>
        <v>fhRegains: 1,</v>
      </c>
    </row>
    <row r="125" spans="1:23" x14ac:dyDescent="0.3">
      <c r="A125" t="str">
        <f>"blocks: "&amp;$S$4&amp;","</f>
        <v>blocks: 0,</v>
      </c>
      <c r="B125" t="str">
        <f>"blocks: "&amp;$S$15&amp;","</f>
        <v>blocks: 0,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0,</v>
      </c>
      <c r="G125" t="str">
        <f>"blocks: "&amp;$S$3&amp;","</f>
        <v>blocks: 0,</v>
      </c>
      <c r="H125" t="str">
        <f>"blocks: "&amp;$S$7&amp;","</f>
        <v>blocks: 0,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1,</v>
      </c>
      <c r="C126" t="str">
        <f>"clearances: "&amp;$T$9&amp;","</f>
        <v>clearances: 0,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1,</v>
      </c>
      <c r="G126" t="str">
        <f>"clearances: "&amp;$T$3&amp;","</f>
        <v>clearances: 0,</v>
      </c>
      <c r="H126" t="str">
        <f>"clearances: "&amp;$T$7&amp;","</f>
        <v>clearances: 0,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0,</v>
      </c>
      <c r="M126" t="str">
        <f>"clearances: "&amp;$T$21&amp;","</f>
        <v>clearances: 1,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1,</v>
      </c>
      <c r="C127" t="str">
        <f>"separations: "&amp;$U$9&amp;","</f>
        <v>separations: 0,</v>
      </c>
      <c r="D127" t="str">
        <f>"separations: "&amp;$U$24&amp;","</f>
        <v>separations: 0,</v>
      </c>
      <c r="E127" t="str">
        <f>"separations: "&amp;$U$12&amp;","</f>
        <v>separations: 0,</v>
      </c>
      <c r="F127" t="str">
        <f>"separations: "&amp;$U$22&amp;","</f>
        <v>separations: 1,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0,</v>
      </c>
      <c r="M127" t="str">
        <f>"separations: "&amp;$U$21&amp;","</f>
        <v>separations: 0,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2,</v>
      </c>
      <c r="Q127" t="str">
        <f>"separations: "&amp;$U$10&amp;","</f>
        <v>separations: 1,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2,</v>
      </c>
      <c r="U127" t="str">
        <f>"separations: "&amp;$U$18&amp;","</f>
        <v>separations: 0,</v>
      </c>
      <c r="V127" t="str">
        <f>"separations: "&amp;$U$16&amp;","</f>
        <v>separations: 1,</v>
      </c>
      <c r="W127" t="str">
        <f>"separations: "&amp;$U$6&amp;","</f>
        <v>separations: 1,</v>
      </c>
    </row>
    <row r="128" spans="1:23" x14ac:dyDescent="0.3">
      <c r="A128" t="str">
        <f>"headers: "&amp;$V$4&amp;","</f>
        <v>headers: 2,</v>
      </c>
      <c r="B128" t="str">
        <f>"headers: "&amp;$V$15&amp;","</f>
        <v>headers: 1,</v>
      </c>
      <c r="C128" t="str">
        <f>"headers: "&amp;$V$9&amp;","</f>
        <v>headers: 0,</v>
      </c>
      <c r="D128" t="str">
        <f>"headers: "&amp;$V$24&amp;","</f>
        <v>headers: 6,</v>
      </c>
      <c r="E128" t="str">
        <f>"headers: "&amp;$V$12&amp;","</f>
        <v>headers: 0,</v>
      </c>
      <c r="F128" t="str">
        <f>"headers: "&amp;$V$22&amp;","</f>
        <v>headers: 11,</v>
      </c>
      <c r="G128" t="str">
        <f>"headers: "&amp;$V$3&amp;","</f>
        <v>headers: 0,</v>
      </c>
      <c r="H128" t="str">
        <f>"headers: "&amp;$V$7&amp;","</f>
        <v>headers: 7,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1,</v>
      </c>
      <c r="M128" t="str">
        <f>"headers: "&amp;$V$21&amp;","</f>
        <v>headers: 6,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2,</v>
      </c>
      <c r="Q128" t="str">
        <f>"headers: "&amp;$V$10&amp;","</f>
        <v>headers: 1,</v>
      </c>
      <c r="R128" t="str">
        <f>"headers: "&amp;$V$2&amp;","</f>
        <v>headers: 2,</v>
      </c>
      <c r="S128" t="str">
        <f>"headers: "&amp;$V$19&amp;","</f>
        <v>headers: 0,</v>
      </c>
      <c r="T128" t="str">
        <f>"headers: "&amp;$V$17&amp;","</f>
        <v>headers: 2,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4,</v>
      </c>
      <c r="B129" t="str">
        <f>"stopFwdCA: "&amp;$W$15&amp;","</f>
        <v>stopFwdCA: 1,</v>
      </c>
      <c r="C129" t="str">
        <f>"stopFwdCA: "&amp;$W$9&amp;","</f>
        <v>stopFwdCA: 0,</v>
      </c>
      <c r="D129" t="str">
        <f>"stopFwdCA: "&amp;$W$24&amp;","</f>
        <v>stopFwdCA: 5,</v>
      </c>
      <c r="E129" t="str">
        <f>"stopFwdCA: "&amp;$W$12&amp;","</f>
        <v>stopFwdCA: 0,</v>
      </c>
      <c r="F129" t="str">
        <f>"stopFwdCA: "&amp;$W$22&amp;","</f>
        <v>stopFwdCA: 3,</v>
      </c>
      <c r="G129" t="str">
        <f>"stopFwdCA: "&amp;$W$3&amp;","</f>
        <v>stopFwdCA: 2,</v>
      </c>
      <c r="H129" t="str">
        <f>"stopFwdCA: "&amp;$W$7&amp;","</f>
        <v>stopFwdCA: 9,</v>
      </c>
      <c r="I129" t="str">
        <f>"stopFwdCA: "&amp;$W$8&amp;","</f>
        <v>stopFwdCA: 1,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7,</v>
      </c>
      <c r="M129" t="str">
        <f>"stopFwdCA: "&amp;$W$21&amp;","</f>
        <v>stopFwdCA: 4,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4,</v>
      </c>
      <c r="Q129" t="str">
        <f>"stopFwdCA: "&amp;$W$10&amp;","</f>
        <v>stopFwdCA: 1,</v>
      </c>
      <c r="R129" t="str">
        <f>"stopFwdCA: "&amp;$W$2&amp;","</f>
        <v>stopFwdCA: 2,</v>
      </c>
      <c r="S129" t="str">
        <f>"stopFwdCA: "&amp;$W$19&amp;","</f>
        <v>stopFwdCA: 2,</v>
      </c>
      <c r="T129" t="str">
        <f>"stopFwdCA: "&amp;$W$17&amp;","</f>
        <v>stopFwdCA: 5,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4,</v>
      </c>
    </row>
    <row r="130" spans="1:23" x14ac:dyDescent="0.3">
      <c r="A130" t="str">
        <f>"totalDefActMin: "&amp;TEXT($Y$4,"0.00")&amp;","</f>
        <v>totalDefActMin: 0.10,</v>
      </c>
      <c r="B130" t="str">
        <f>"totalDefActMin: "&amp;TEXT($Y$15,"0.00")&amp;","</f>
        <v>totalDefActMin: 0.16,</v>
      </c>
      <c r="C130" t="str">
        <f>"totalDefActMin: "&amp;TEXT($Y$9,"0.00")&amp;","</f>
        <v>totalDefActMin: 0.00,</v>
      </c>
      <c r="D130" t="str">
        <f>"totalDefActMin: "&amp;TEXT($Y$24,"0.00")&amp;","</f>
        <v>totalDefActMin: 0.39,</v>
      </c>
      <c r="E130" t="str">
        <f>"totalDefActMin: "&amp;TEXT($Y$12,"0.00")&amp;","</f>
        <v>totalDefActMin: 0.00,</v>
      </c>
      <c r="F130" t="str">
        <f>"totalDefActMin: "&amp;TEXT($Y$22,"0.00")&amp;","</f>
        <v>totalDefActMin: 0.29,</v>
      </c>
      <c r="G130" t="str">
        <f>"totalDefActMin: "&amp;TEXT($Y$3,"0.00")&amp;","</f>
        <v>totalDefActMin: 0.10,</v>
      </c>
      <c r="H130" t="str">
        <f>"totalDefActMin: "&amp;TEXT($Y$7,"0.00")&amp;","</f>
        <v>totalDefActMin: 0.29,</v>
      </c>
      <c r="I130" t="str">
        <f>"totalDefActMin: "&amp;TEXT($Y$8,"0.00")&amp;","</f>
        <v>totalDefActMin: 0.17,</v>
      </c>
      <c r="J130" t="str">
        <f>"totalDefActMin: "&amp;TEXT($Y$23,"0.00")&amp;","</f>
        <v>totalDefActMin: 0.29,</v>
      </c>
      <c r="K130" t="str">
        <f>"totalDefActMin: "&amp;TEXT($Y$20,"0.00")&amp;","</f>
        <v>totalDefActMin: 0.00,</v>
      </c>
      <c r="L130" t="str">
        <f>"totalDefActMin: "&amp;TEXT($Y$14,"0.00")&amp;","</f>
        <v>totalDefActMin: 0.27,</v>
      </c>
      <c r="M130" t="str">
        <f>"totalDefActMin: "&amp;TEXT($Y$21,"0.00")&amp;","</f>
        <v>totalDefActMin: 0.34,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0.26,</v>
      </c>
      <c r="Q130" t="str">
        <f>"totalDefActMin: "&amp;TEXT($Y$10,"0.00")&amp;","</f>
        <v>totalDefActMin: 0.20,</v>
      </c>
      <c r="R130" t="str">
        <f>"totalDefActMin: "&amp;TEXT($Y$2,"0.00")&amp;","</f>
        <v>totalDefActMin: 0.33,</v>
      </c>
      <c r="S130" t="str">
        <f>"totalDefActMin: "&amp;TEXT($Y$19,"0.00")&amp;","</f>
        <v>totalDefActMin: 0.07,</v>
      </c>
      <c r="T130" t="str">
        <f>"totalDefActMin: "&amp;TEXT($Y$17,"0.00")&amp;","</f>
        <v>totalDefActMin: 0.25,</v>
      </c>
      <c r="U130" t="str">
        <f>"totalDefActMin: "&amp;TEXT($Y$18,"0.00")&amp;","</f>
        <v>totalDefActMin: 0.00,</v>
      </c>
      <c r="V130" t="str">
        <f>"totalDefActMin: "&amp;TEXT($Y$16,"0.00")&amp;","</f>
        <v>totalDefActMin: 0.11,</v>
      </c>
      <c r="W130" t="str">
        <f>"totalDefActMin: "&amp;TEXT($Y$6,"0.00")&amp;","</f>
        <v>totalDefActMin: 0.27,</v>
      </c>
    </row>
    <row r="131" spans="1:23" x14ac:dyDescent="0.3">
      <c r="A131" t="str">
        <f>"totalActions: "&amp;$Z$4&amp;","</f>
        <v>totalActions: 14,</v>
      </c>
      <c r="B131" t="str">
        <f t="shared" ref="B131" si="4">"totalActions: "&amp;$Z$4&amp;","</f>
        <v>totalActions: 14,</v>
      </c>
      <c r="C131" t="str">
        <f>"totalActions: "&amp;$Z$9&amp;","</f>
        <v>totalActions: 0,</v>
      </c>
      <c r="D131" t="str">
        <f>"totalActions: "&amp;$Z$24&amp;","</f>
        <v>totalActions: 43,</v>
      </c>
      <c r="E131" t="str">
        <f>"totalActions: "&amp;$Z$12&amp;","</f>
        <v>totalActions: 0,</v>
      </c>
      <c r="F131" t="str">
        <f>"totalActions: "&amp;$Z$22&amp;","</f>
        <v>totalActions: 32,</v>
      </c>
      <c r="G131" t="str">
        <f>"totalActions: "&amp;$Z$3&amp;","</f>
        <v>totalActions: 7,</v>
      </c>
      <c r="H131" t="str">
        <f>"totalActions: "&amp;$Z$7&amp;","</f>
        <v>totalActions: 31,</v>
      </c>
      <c r="I131" t="str">
        <f>"totalActions: "&amp;$Z$8&amp;","</f>
        <v>totalActions: 9,</v>
      </c>
      <c r="J131" t="str">
        <f>"totalActions: "&amp;$Z$23&amp;","</f>
        <v>totalActions: 6,</v>
      </c>
      <c r="K131" t="str">
        <f>"totalActions: "&amp;$Z$20&amp;","</f>
        <v>totalActions: 0,</v>
      </c>
      <c r="L131" t="str">
        <f>"totalActions: "&amp;$Z$14&amp;","</f>
        <v>totalActions: 22,</v>
      </c>
      <c r="M131" t="str">
        <f>"totalActions: "&amp;$Z$21&amp;","</f>
        <v>totalActions: 35,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20,</v>
      </c>
      <c r="Q131" t="str">
        <f>"totalActions: "&amp;$Z$10&amp;","</f>
        <v>totalActions: 21,</v>
      </c>
      <c r="R131" t="str">
        <f>"totalActions: "&amp;$Z$2&amp;","</f>
        <v>totalActions: 14,</v>
      </c>
      <c r="S131" t="str">
        <f>"totalActions: "&amp;$Z$19&amp;","</f>
        <v>totalActions: 14,</v>
      </c>
      <c r="T131" t="str">
        <f>"totalActions: "&amp;$Z$17&amp;","</f>
        <v>totalActions: 30,</v>
      </c>
      <c r="U131" t="str">
        <f>"totalActions: "&amp;$Z$18&amp;","</f>
        <v>totalActions: 0,</v>
      </c>
      <c r="V131" t="str">
        <f>"totalActions: "&amp;$Z$16&amp;","</f>
        <v>totalActions: 14,</v>
      </c>
      <c r="W131" t="str">
        <f>"totalActions: "&amp;$Z$6&amp;","</f>
        <v>totalActions: 11,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class="stat-value-2"&gt;8&lt;/span&gt;&lt;/p&gt;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class="stat-value-2"&gt;7&lt;/span&gt;&lt;/p&gt;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class="stat-value-2"&gt;17&lt;/span&gt;&lt;/p&gt;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class="stat-value-2"&gt;0&lt;/span&gt;&lt;/p&gt;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class="stat-value-2"&gt;8&lt;/span&gt;&lt;/p&gt;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class="stat-value-2"&gt;4&lt;/span&gt;&lt;/p&gt;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class="stat-value-2"&gt;7&lt;/span&gt;&lt;/p&gt;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class="stat-value-2"&gt;6&lt;/span&gt;&lt;/p&gt;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class="stat-value-2"&gt;4&lt;/span&gt;&lt;/p&gt;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class="stat-value-2"&gt;5&lt;/span&gt;&lt;/p&gt;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class="stat-value-2"&gt;12&lt;/span&gt;&lt;/p&gt;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class="stat-value-2"&gt;10&lt;/span&gt;&lt;/p&gt;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class="stat-value-2"&gt;9&lt;/span&gt;&lt;/p&gt;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class="stat-value-2"&gt;3&lt;/span&gt;&lt;/p&gt;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class="stat-value-2"&gt;10&lt;/span&gt;&lt;/p&gt;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class="stat-value-2"&gt;14&lt;/span&gt;&lt;/p&gt;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class="stat-value-2"&gt;9&lt;/span&gt;&lt;/p&gt;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class="stat-value-2"&gt;4&lt;/span&gt;&lt;/p&gt;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class="stat-value-2"&gt;0.13&lt;/span&gt;&lt;/p&gt;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class="stat-value-2"&gt;0.09&lt;/span&gt;&lt;/p&gt;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class="stat-value-2"&gt;0.25&lt;/span&gt;&lt;/p&gt;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class="stat-value-2"&gt;0.10&lt;/span&gt;&lt;/p&gt;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class="stat-value-2"&gt;0.14&lt;/span&gt;&lt;/p&gt;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class="stat-value-2"&gt;0.08&lt;/span&gt;&lt;/p&gt;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class="stat-value-2"&gt;0.33&lt;/span&gt;&lt;/p&gt;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class="stat-value-2"&gt;0.57&lt;/span&gt;&lt;/p&gt;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class="stat-value-2"&gt;0.08&lt;/span&gt;&lt;/p&gt;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class="stat-value-2"&gt;0.18&lt;/span&gt;&lt;/p&gt;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class="stat-value-2"&gt;0.26&lt;/span&gt;&lt;/p&gt;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class="stat-value-2"&gt;0.15&lt;/span&gt;&lt;/p&gt;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class="stat-value-2"&gt;0.09&lt;/span&gt;&lt;/p&gt;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class="stat-value-2"&gt;0.17&lt;/span&gt;&lt;/p&gt;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class="stat-value-2"&gt;0.22&lt;/span&gt;&lt;/p&gt;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class="stat-value-2"&gt;0.20&lt;/span&gt;&lt;/p&gt;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class="stat-value-2"&gt;0.15&lt;/span&gt;&lt;/p&gt;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class="stat-value-2"&gt;1&lt;/span&gt;&lt;/p&gt;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class="stat-value-2"&gt;1&lt;/span&gt;&lt;/p&gt;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class="stat-value-2"&gt;1&lt;/span&gt;&lt;/p&gt;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class="stat-value-2"&gt;1&lt;/span&gt;&lt;/p&gt;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class="stat-value-2"&gt;1&lt;/span&gt;&lt;/p&gt;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class="stat-value-2"&gt;1&lt;/span&gt;&lt;/p&gt;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class="stat-value-2"&gt;1&lt;/span&gt;&lt;/p&gt;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class="stat-value-2"&gt;0&lt;/span&gt;&lt;/p&gt;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class="stat-value-2"&gt;5&lt;/span&gt;&lt;/p&gt;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class="stat-value-2"&gt;7&lt;/span&gt;&lt;/p&gt;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class="stat-value-2"&gt;0&lt;/span&gt;&lt;/p&gt;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class="stat-value-2"&gt;2&lt;/span&gt;&lt;/p&gt;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class="stat-value-2"&gt;1&lt;/span&gt;&lt;/p&gt;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class="stat-value-2"&gt;0&lt;/span&gt;&lt;/p&gt;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class="stat-value-2"&gt;2&lt;/span&gt;&lt;/p&gt;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class="stat-value-2"&gt;1&lt;/span&gt;&lt;/p&gt;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class="stat-value-2"&gt;1&lt;/span&gt;&lt;/p&gt;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class="stat-value-2"&gt;6&lt;/span&gt;&lt;/p&gt;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class="stat-value-2"&gt;1&lt;/span&gt;&lt;/p&gt;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class="stat-value-2"&gt;2&lt;/span&gt;&lt;/p&gt;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class="stat-value-2"&gt;3&lt;/span&gt;&lt;/p&gt;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class="stat-value-2"&gt;5&lt;/span&gt;&lt;/p&gt;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class="stat-value-2"&gt;1&lt;/span&gt;&lt;/p&gt;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class="stat-value-2"&gt;1&lt;/span&gt;&lt;/p&gt;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class="stat-value-2"&gt;1&lt;/span&gt;&lt;/p&gt;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class="stat-value-2"&gt;1&lt;/span&gt;&lt;/p&gt;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class="stat-value-2"&gt;1&lt;/span&gt;&lt;/p&gt;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class="stat-value-2"&gt;2&lt;/span&gt;&lt;/p&gt;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class="stat-value-2"&gt;1&lt;/span&gt;&lt;/p&gt;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class="stat-value-2"&gt;2&lt;/span&gt;&lt;/p&gt;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class="stat-value-2"&gt;2&lt;/span&gt;&lt;/p&gt;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class="stat-value-2"&gt;1&lt;/span&gt;&lt;/p&gt;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class="stat-value-2"&gt;2&lt;/span&gt;&lt;/p&gt;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class="stat-value-2"&gt;1&lt;/span&gt;&lt;/p&gt;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class="stat-value-2"&gt;1&lt;/span&gt;&lt;/p&gt;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class="stat-value-2"&gt;5&lt;/span&gt;&lt;/p&gt;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class="stat-value-2"&gt;2&lt;/span&gt;&lt;/p&gt;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class="stat-value-2"&gt;2&lt;/span&gt;&lt;/p&gt;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class="stat-value-2"&gt;0&lt;/span&gt;&lt;/p&gt;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class="stat-value-2"&gt;1&lt;/span&gt;&lt;/p&gt;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class="stat-value-2"&gt;2&lt;/span&gt;&lt;/p&gt;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class="stat-value-2"&gt;3&lt;/span&gt;&lt;/p&gt;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class="stat-value-2"&gt;2&lt;/span&gt;&lt;/p&gt;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class="stat-value-2"&gt;2&lt;/span&gt;&lt;/p&gt;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class="stat-value-2"&gt;4&lt;/span&gt;&lt;/p&gt;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class="stat-value-2"&gt;1&lt;/span&gt;&lt;/p&gt;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class="stat-value-2"&gt;2&lt;/span&gt;&lt;/p&gt;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class="stat-value-2"&gt;1&lt;/span&gt;&lt;/p&gt;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class="stat-value-2"&gt;1&lt;/span&gt;&lt;/p&gt;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class="stat-value-2"&gt;2&lt;/span&gt;&lt;/p&gt;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class="stat-value-2"&gt;0&lt;/span&gt;&lt;/p&gt;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class="stat-value-2"&gt;1&lt;/span&gt;&lt;/p&gt;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class="stat-value-2"&gt;2&lt;/span&gt;&lt;/p&gt;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class="stat-value-2"&gt;1&lt;/span&gt;&lt;/p&gt;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class="stat-value-2"&gt;3&lt;/span&gt;&lt;/p&gt;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class="stat-value-2"&gt;1&lt;/span&gt;&lt;/p&gt;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class="stat-value-2"&gt;1&lt;/span&gt;&lt;/p&gt;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class="stat-value-2"&gt;1&lt;/span&gt;&lt;/p&gt;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class="stat-value-2"&gt;1&lt;/span&gt;&lt;/p&gt;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class="stat-value-2"&gt;1&lt;/span&gt;&lt;/p&gt;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class="stat-value-2"&gt;1&lt;/span&gt;&lt;/p&gt;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class="stat-value-2"&gt;0&lt;/span&gt;&lt;/p&gt;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class="stat-value-2"&gt;1&lt;/span&gt;&lt;/p&gt;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class="stat-value-2"&gt;1&lt;/span&gt;&lt;/p&gt;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class="stat-value-2"&gt;1&lt;/span&gt;&lt;/p&gt;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class="stat-value-2"&gt;1&lt;/span&gt;&lt;/p&gt;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class="stat-value-2"&gt;3&lt;/span&gt;&lt;/p&gt;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class="stat-value-2"&gt;2&lt;/span&gt;&lt;/p&gt;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class="stat-value-2"&gt;1&lt;/span&gt;&lt;/p&gt;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class="stat-value-2"&gt;1&lt;/span&gt;&lt;/p&gt;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class="stat-value-2"&gt;0&lt;/span&gt;&lt;/p&gt;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class="stat-value-2"&gt;4&lt;/span&gt;&lt;/p&gt;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class="stat-value-2"&gt;0&lt;/span&gt;&lt;/p&gt;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class="stat-value-2"&gt;1&lt;/span&gt;&lt;/p&gt;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class="stat-value-2"&gt;2&lt;/span&gt;&lt;/p&gt;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class="stat-value-2"&gt;1&lt;/span&gt;&lt;/p&gt;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class="stat-value-2"&gt;1&lt;/span&gt;&lt;/p&gt;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class="stat-value-2"&gt;1&lt;/span&gt;&lt;/p&gt;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class="stat-value-2"&gt;3&lt;/span&gt;&lt;/p&gt;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class="stat-value-2"&gt;0&lt;/span&gt;&lt;/p&gt;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class="stat-value-2"&gt;3&lt;/span&gt;&lt;/p&gt;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class="stat-value-2"&gt;6&lt;/span&gt;&lt;/p&gt;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class="stat-value-2"&gt;12&lt;/span&gt;&lt;/p&gt;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class="stat-value-2"&gt;26&lt;/span&gt;&lt;/p&gt;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class="stat-value-2"&gt;0&lt;/span&gt;&lt;/p&gt;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class="stat-value-2"&gt;24&lt;/span&gt;&lt;/p&gt;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class="stat-value-2"&gt;3&lt;/span&gt;&lt;/p&gt;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class="stat-value-2"&gt;24&lt;/span&gt;&lt;/p&gt;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class="stat-value-2"&gt;3&lt;/span&gt;&lt;/p&gt;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class="stat-value-2"&gt;2&lt;/span&gt;&lt;/p&gt;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class="stat-value-2"&gt;17&lt;/span&gt;&lt;/p&gt;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class="stat-value-2"&gt;23&lt;/span&gt;&lt;/p&gt;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class="stat-value-2"&gt;10&lt;/span&gt;&lt;/p&gt;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class="stat-value-2"&gt;12&lt;/span&gt;&lt;/p&gt;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class="stat-value-2"&gt;11&lt;/span&gt;&lt;/p&gt;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class="stat-value-2"&gt;4&lt;/span&gt;&lt;/p&gt;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class="stat-value-2"&gt;16&lt;/span&gt;&lt;/p&gt;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class="stat-value-2"&gt;5&lt;/span&gt;&lt;/p&gt;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class="stat-value-2"&gt;7&lt;/span&gt;&lt;/p&gt;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class="stat-value-2"&gt;0.16&lt;/span&gt;&lt;/p&gt;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class="stat-value-2"&gt;0.39&lt;/span&gt;&lt;/p&gt;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class="stat-value-2"&gt;0.29&lt;/span&gt;&lt;/p&gt;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class="stat-value-2"&gt;0.10&lt;/span&gt;&lt;/p&gt;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class="stat-value-2"&gt;0.29&lt;/span&gt;&lt;/p&gt;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class="stat-value-2"&gt;0.17&lt;/span&gt;&lt;/p&gt;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class="stat-value-2"&gt;0.29&lt;/span&gt;&lt;/p&gt;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class="stat-value-2"&gt;0.27&lt;/span&gt;&lt;/p&gt;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class="stat-value-2"&gt;0.34&lt;/span&gt;&lt;/p&gt;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class="stat-value-2"&gt;0.26&lt;/span&gt;&lt;/p&gt;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class="stat-value-2"&gt;0.20&lt;/span&gt;&lt;/p&gt;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class="stat-value-2"&gt;0.33&lt;/span&gt;&lt;/p&gt;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class="stat-value-2"&gt;0.07&lt;/span&gt;&lt;/p&gt;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class="stat-value-2"&gt;0.25&lt;/span&gt;&lt;/p&gt;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class="stat-value-2"&gt;0.11&lt;/span&gt;&lt;/p&gt;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class="stat-value-2"&gt;0.27&lt;/span&gt;&lt;/p&gt;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class="stat-value-2"&gt;1&lt;/span&gt;&lt;/p&gt;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class="stat-value-2"&gt;1&lt;/span&gt;&lt;/p&gt;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class="stat-value-2"&gt;0&lt;/span&gt;&lt;/p&gt;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class="stat-value-2"&gt;1&lt;/span&gt;&lt;/p&gt;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class="stat-value-2"&gt;2&lt;/span&gt;&lt;/p&gt;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class="stat-value-2"&gt;7&lt;/span&gt;&lt;/p&gt;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class="stat-value-2"&gt;5&lt;/span&gt;&lt;/p&gt;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class="stat-value-2"&gt;3&lt;/span&gt;&lt;/p&gt;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class="stat-value-2"&gt;2&lt;/span&gt;&lt;/p&gt;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class="stat-value-2"&gt;1&lt;/span&gt;&lt;/p&gt;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class="stat-value-2"&gt;0&lt;/span&gt;&lt;/p&gt;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class="stat-value-2"&gt;4&lt;/span&gt;&lt;/p&gt;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class="stat-value-2"&gt;9&lt;/span&gt;&lt;/p&gt;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class="stat-value-2"&gt;7&lt;/span&gt;&lt;/p&gt;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class="stat-value-2"&gt;1&lt;/span&gt;&lt;/p&gt;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class="stat-value-2"&gt;2&lt;/span&gt;&lt;/p&gt;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class="stat-value-2"&gt;1&lt;/span&gt;&lt;/p&gt;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class="stat-value-2"&gt;1&lt;/span&gt;&lt;/p&gt;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class="stat-value-2"&gt;5&lt;/span&gt;&lt;/p&gt;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class="stat-value-2"&gt;3&lt;/span&gt;&lt;/p&gt;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class="stat-value-2"&gt;1&lt;/span&gt;&lt;/p&gt;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class="stat-value-2"&gt;4&lt;/span&gt;&lt;/p&gt;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class="stat-value-2"&gt;2&lt;/span&gt;&lt;/p&gt;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class="stat-value-2"&gt;1&lt;/span&gt;&lt;/p&gt;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class="stat-value-2"&gt;0&lt;/span&gt;&lt;/p&gt;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class="stat-value-2"&gt;1&lt;/span&gt;&lt;/p&gt;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class="stat-value-2"&gt;0&lt;/span&gt;&lt;/p&gt;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class="stat-value-2"&gt;3&lt;/span&gt;&lt;/p&gt;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class="stat-value-2"&gt;5&lt;/span&gt;&lt;/p&gt;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class="stat-value-2"&gt;0&lt;/span&gt;&lt;/p&gt;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class="stat-value-2"&gt;4&lt;/span&gt;&lt;/p&gt;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class="stat-value-2"&gt;1&lt;/span&gt;&lt;/p&gt;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class="stat-value-2"&gt;1&lt;/span&gt;&lt;/p&gt;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class="stat-value-2"&gt;4&lt;/span&gt;&lt;/p&gt;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class="stat-value-2"&gt;2&lt;/span&gt;&lt;/p&gt;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class="stat-value-2"&gt;1&lt;/span&gt;&lt;/p&gt;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class="stat-value-2"&gt;0&lt;/span&gt;&lt;/p&gt;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class="stat-value-2"&gt;2&lt;/span&gt;&lt;/p&gt;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class="stat-value-2"&gt;4&lt;/span&gt;&lt;/p&gt;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class="stat-value-2"&gt;2&lt;/span&gt;&lt;/p&gt;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class="stat-value-2"&gt;1&lt;/span&gt;&lt;/p&gt;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class="stat-value-2"&gt;0&lt;/span&gt;&lt;/p&gt;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class="stat-value-2"&gt;0&lt;/span&gt;&lt;/p&gt;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class="stat-value-2"&gt;0&lt;/span&gt;&lt;/p&gt;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class="stat-value-2"&gt;1&lt;/span&gt;&lt;/p&gt;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class="stat-value-2"&gt;1&lt;/span&gt;&lt;/p&gt;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class="stat-value-2"&gt;0&lt;/span&gt;&lt;/p&gt;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class="stat-value-2"&gt;0&lt;/span&gt;&lt;/p&gt;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class="stat-value-2"&gt;1&lt;/span&gt;&lt;/p&gt;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class="stat-value-2"&gt;1&lt;/span&gt;&lt;/p&gt;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class="stat-value-2"&gt;0&lt;/span&gt;&lt;/p&gt;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class="stat-value-2"&gt;1&lt;/span&gt;&lt;/p&gt;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class="stat-value-2"&gt;0&lt;/span&gt;&lt;/p&gt;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class="stat-value-2"&gt;0&lt;/span&gt;&lt;/p&gt;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class="stat-value-2"&gt;2&lt;/span&gt;&lt;/p&gt;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class="stat-value-2"&gt;1&lt;/span&gt;&lt;/p&gt;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class="stat-value-2"&gt;2&lt;/span&gt;&lt;/p&gt;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class="stat-value-2"&gt;1&lt;/span&gt;&lt;/p&gt;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class="stat-value-2"&gt;1&lt;/span&gt;&lt;/p&gt;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class="stat-value-2"&gt;2&lt;/span&gt;&lt;/p&gt;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class="stat-value-2"&gt;1&lt;/span&gt;&lt;/p&gt;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class="stat-value-2"&gt;6&lt;/span&gt;&lt;/p&gt;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class="stat-value-2"&gt;11&lt;/span&gt;&lt;/p&gt;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class="stat-value-2"&gt;7&lt;/span&gt;&lt;/p&gt;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class="stat-value-2"&gt;1&lt;/span&gt;&lt;/p&gt;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class="stat-value-2"&gt;6&lt;/span&gt;&lt;/p&gt;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class="stat-value-2"&gt;2&lt;/span&gt;&lt;/p&gt;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class="stat-value-2"&gt;1&lt;/span&gt;&lt;/p&gt;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class="stat-value-2"&gt;2&lt;/span&gt;&lt;/p&gt;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class="stat-value-2"&gt;2&lt;/span&gt;&lt;/p&gt;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class="stat-value-2"&gt;4&lt;/span&gt;&lt;/p&gt;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class="stat-value-2"&gt;1&lt;/span&gt;&lt;/p&gt;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class="stat-value-2"&gt;5&lt;/span&gt;&lt;/p&gt;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class="stat-value-2"&gt;0&lt;/span&gt;&lt;/p&gt;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class="stat-value-2"&gt;3&lt;/span&gt;&lt;/p&gt;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class="stat-value-2"&gt;2&lt;/span&gt;&lt;/p&gt;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class="stat-value-2"&gt;9&lt;/span&gt;&lt;/p&gt;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class="stat-value-2"&gt;1&lt;/span&gt;&lt;/p&gt;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class="stat-value-2"&gt;7&lt;/span&gt;&lt;/p&gt;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class="stat-value-2"&gt;4&lt;/span&gt;&lt;/p&gt;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class="stat-value-2"&gt;4&lt;/span&gt;&lt;/p&gt;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class="stat-value-2"&gt;1&lt;/span&gt;&lt;/p&gt;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class="stat-value-2"&gt;2&lt;/span&gt;&lt;/p&gt;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class="stat-value-2"&gt;2&lt;/span&gt;&lt;/p&gt;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class="stat-value-2"&gt;5&lt;/span&gt;&lt;/p&gt;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class="stat-value-2"&gt;4&lt;/span&gt;&lt;/p&gt;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49E7-E37D-4426-9246-231D0A923428}">
  <dimension ref="A1:AT157"/>
  <sheetViews>
    <sheetView topLeftCell="A100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 s="1">
        <f t="shared" ref="Y3:Y24" si="1">IFERROR(X3/B3,0)</f>
        <v>0.18181818181818182</v>
      </c>
      <c r="Z3">
        <v>2</v>
      </c>
      <c r="AA3" s="1">
        <f t="shared" ref="AA3:AA24" si="2">IFERROR(Z3/B3,0)</f>
        <v>0.18181818181818182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11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0.18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11&lt;/td&gt;&lt;td&gt;2&lt;/td&gt;&lt;td&gt;0&lt;/td&gt;&lt;td&gt;0&lt;/td&gt;&lt;td&gt;0&lt;/td&gt;&lt;td&gt;0&lt;/td&gt;&lt;td&gt;0&lt;/td&gt;&lt;td&gt;0&lt;/td&gt;&lt;td&gt;0&lt;/td&gt;&lt;td&gt;2&lt;/td&gt;&lt;td&gt;0.18&lt;/td&gt;&lt;td&gt;2&lt;/td&gt;&lt;td&gt;0.18&lt;/td&gt;&lt;/tr&gt;</v>
      </c>
    </row>
    <row r="4" spans="1:46" x14ac:dyDescent="0.3">
      <c r="A4" t="s">
        <v>27</v>
      </c>
      <c r="B4">
        <v>54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3</v>
      </c>
      <c r="K4">
        <v>2</v>
      </c>
      <c r="L4">
        <v>0</v>
      </c>
      <c r="M4">
        <v>0</v>
      </c>
      <c r="N4">
        <v>6</v>
      </c>
      <c r="O4" s="1">
        <f t="shared" si="0"/>
        <v>0.1111111111111111</v>
      </c>
      <c r="P4">
        <v>0</v>
      </c>
      <c r="Q4">
        <v>2</v>
      </c>
      <c r="R4">
        <v>1</v>
      </c>
      <c r="S4">
        <v>0</v>
      </c>
      <c r="T4">
        <v>0</v>
      </c>
      <c r="U4">
        <v>0</v>
      </c>
      <c r="V4">
        <v>2</v>
      </c>
      <c r="W4">
        <v>1</v>
      </c>
      <c r="X4">
        <v>6</v>
      </c>
      <c r="Y4" s="1">
        <f t="shared" si="1"/>
        <v>0.1111111111111111</v>
      </c>
      <c r="Z4">
        <v>12</v>
      </c>
      <c r="AA4" s="1">
        <f t="shared" si="2"/>
        <v>0.22222222222222221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54&lt;/td&gt;&lt;td&gt;0&lt;/td&gt;&lt;td&gt;0&lt;/td&gt;&lt;td&gt;1&lt;/td&gt;&lt;td&gt;0&lt;/td&gt;&lt;td&gt;1&lt;/td&gt;&lt;td&gt;0&lt;/td&gt;&lt;td&gt;0&lt;/td&gt;&lt;td&gt;3&lt;/td&gt;&lt;td&gt;2&lt;/td&gt;&lt;td&gt;0&lt;/td&gt;&lt;td&gt;0&lt;/td&gt;&lt;td&gt;6&lt;/td&gt;&lt;td&gt;0.11&lt;/td&gt;&lt;td&gt;12&lt;/td&gt;&lt;td&gt;0.22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54&lt;/td&gt;&lt;td&gt;0&lt;/td&gt;&lt;td&gt;2&lt;/td&gt;&lt;td&gt;1&lt;/td&gt;&lt;td&gt;0&lt;/td&gt;&lt;td&gt;0&lt;/td&gt;&lt;td&gt;0&lt;/td&gt;&lt;td&gt;2&lt;/td&gt;&lt;td&gt;1&lt;/td&gt;&lt;td&gt;6&lt;/td&gt;&lt;td&gt;0.11&lt;/td&gt;&lt;td&gt;12&lt;/td&gt;&lt;td&gt;0.22&lt;/td&gt;&lt;/tr&gt;</v>
      </c>
    </row>
    <row r="5" spans="1:46" x14ac:dyDescent="0.3">
      <c r="A5" t="s">
        <v>28</v>
      </c>
      <c r="B5">
        <v>36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4</v>
      </c>
      <c r="O5" s="1">
        <f t="shared" si="0"/>
        <v>0.1111111111111111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1">
        <f t="shared" si="1"/>
        <v>0</v>
      </c>
      <c r="Z5">
        <v>4</v>
      </c>
      <c r="AA5" s="1">
        <f t="shared" si="2"/>
        <v>0.1111111111111111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36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0.11&lt;/td&gt;&lt;td&gt;4&lt;/td&gt;&lt;td&gt;0.11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36&lt;/td&gt;&lt;td&gt;0&lt;/td&gt;&lt;td&gt;0&lt;/td&gt;&lt;td&gt;0&lt;/td&gt;&lt;td&gt;0&lt;/td&gt;&lt;td&gt;0&lt;/td&gt;&lt;td&gt;0&lt;/td&gt;&lt;td&gt;0&lt;/td&gt;&lt;td&gt;0&lt;/td&gt;&lt;td&gt;0&lt;/td&gt;&lt;td&gt;0.00&lt;/td&gt;&lt;td&gt;4&lt;/td&gt;&lt;td&gt;0.11&lt;/td&gt;&lt;/tr&gt;</v>
      </c>
    </row>
    <row r="6" spans="1:46" x14ac:dyDescent="0.3">
      <c r="A6" t="s">
        <v>29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 s="1">
        <f t="shared" si="0"/>
        <v>0.14285714285714285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1</v>
      </c>
      <c r="AA6" s="1">
        <f t="shared" si="2"/>
        <v>0.14285714285714285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7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0.14&lt;/td&gt;&lt;td&gt;1&lt;/td&gt;&lt;td&gt;0.14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0.00&lt;/td&gt;&lt;td&gt;1&lt;/td&gt;&lt;td&gt;0.14&lt;/td&gt;&lt;/tr&gt;</v>
      </c>
    </row>
    <row r="7" spans="1:46" x14ac:dyDescent="0.3">
      <c r="A7" t="s">
        <v>30</v>
      </c>
      <c r="B7">
        <v>90</v>
      </c>
      <c r="C7">
        <v>0</v>
      </c>
      <c r="D7">
        <v>0</v>
      </c>
      <c r="E7">
        <v>0</v>
      </c>
      <c r="F7">
        <v>7</v>
      </c>
      <c r="G7">
        <v>0</v>
      </c>
      <c r="H7">
        <v>2</v>
      </c>
      <c r="I7">
        <v>2</v>
      </c>
      <c r="J7">
        <v>0</v>
      </c>
      <c r="K7">
        <v>1</v>
      </c>
      <c r="L7">
        <v>1</v>
      </c>
      <c r="M7">
        <v>0</v>
      </c>
      <c r="N7">
        <v>13</v>
      </c>
      <c r="O7" s="1">
        <f t="shared" si="0"/>
        <v>0.14444444444444443</v>
      </c>
      <c r="P7">
        <v>3</v>
      </c>
      <c r="Q7">
        <v>9</v>
      </c>
      <c r="R7">
        <v>4</v>
      </c>
      <c r="S7">
        <v>2</v>
      </c>
      <c r="T7">
        <v>1</v>
      </c>
      <c r="U7">
        <v>2</v>
      </c>
      <c r="V7">
        <v>5</v>
      </c>
      <c r="W7">
        <v>2</v>
      </c>
      <c r="X7">
        <v>28</v>
      </c>
      <c r="Y7" s="1">
        <f t="shared" si="1"/>
        <v>0.31111111111111112</v>
      </c>
      <c r="Z7">
        <v>41</v>
      </c>
      <c r="AA7" s="1">
        <f t="shared" si="2"/>
        <v>0.45555555555555555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90&lt;/td&gt;&lt;td&gt;0&lt;/td&gt;&lt;td&gt;0&lt;/td&gt;&lt;td&gt;0&lt;/td&gt;&lt;td&gt;7&lt;/td&gt;&lt;td&gt;0&lt;/td&gt;&lt;td&gt;2&lt;/td&gt;&lt;td&gt;2&lt;/td&gt;&lt;td&gt;0&lt;/td&gt;&lt;td&gt;1&lt;/td&gt;&lt;td&gt;1&lt;/td&gt;&lt;td&gt;0&lt;/td&gt;&lt;td&gt;13&lt;/td&gt;&lt;td&gt;0.14&lt;/td&gt;&lt;td&gt;41&lt;/td&gt;&lt;td&gt;0.46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90&lt;/td&gt;&lt;td&gt;3&lt;/td&gt;&lt;td&gt;9&lt;/td&gt;&lt;td&gt;4&lt;/td&gt;&lt;td&gt;2&lt;/td&gt;&lt;td&gt;1&lt;/td&gt;&lt;td&gt;2&lt;/td&gt;&lt;td&gt;5&lt;/td&gt;&lt;td&gt;2&lt;/td&gt;&lt;td&gt;28&lt;/td&gt;&lt;td&gt;0.31&lt;/td&gt;&lt;td&gt;41&lt;/td&gt;&lt;td&gt;0.46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f t="shared" si="0"/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f t="shared" si="1"/>
        <v>0</v>
      </c>
      <c r="Z9"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0" spans="1:46" x14ac:dyDescent="0.3">
      <c r="A10" t="s">
        <v>33</v>
      </c>
      <c r="B10">
        <v>83</v>
      </c>
      <c r="C10">
        <v>0</v>
      </c>
      <c r="D10">
        <v>0</v>
      </c>
      <c r="E10">
        <v>1</v>
      </c>
      <c r="F10">
        <v>5</v>
      </c>
      <c r="G10">
        <v>2</v>
      </c>
      <c r="H10">
        <v>0</v>
      </c>
      <c r="I10">
        <v>1</v>
      </c>
      <c r="J10">
        <v>1</v>
      </c>
      <c r="K10">
        <v>2</v>
      </c>
      <c r="L10">
        <v>4</v>
      </c>
      <c r="M10">
        <v>2</v>
      </c>
      <c r="N10">
        <v>16</v>
      </c>
      <c r="O10" s="1">
        <f t="shared" si="0"/>
        <v>0.19277108433734941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3</v>
      </c>
      <c r="Y10" s="1">
        <f t="shared" si="1"/>
        <v>3.614457831325301E-2</v>
      </c>
      <c r="Z10">
        <v>19</v>
      </c>
      <c r="AA10" s="1">
        <f t="shared" si="2"/>
        <v>0.2289156626506024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83&lt;/td&gt;&lt;td&gt;0&lt;/td&gt;&lt;td&gt;0&lt;/td&gt;&lt;td&gt;1&lt;/td&gt;&lt;td&gt;5&lt;/td&gt;&lt;td&gt;2&lt;/td&gt;&lt;td&gt;0&lt;/td&gt;&lt;td&gt;1&lt;/td&gt;&lt;td&gt;1&lt;/td&gt;&lt;td&gt;2&lt;/td&gt;&lt;td&gt;4&lt;/td&gt;&lt;td&gt;2&lt;/td&gt;&lt;td&gt;16&lt;/td&gt;&lt;td&gt;0.19&lt;/td&gt;&lt;td&gt;19&lt;/td&gt;&lt;td&gt;0.23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83&lt;/td&gt;&lt;td&gt;0&lt;/td&gt;&lt;td&gt;2&lt;/td&gt;&lt;td&gt;0&lt;/td&gt;&lt;td&gt;0&lt;/td&gt;&lt;td&gt;0&lt;/td&gt;&lt;td&gt;0&lt;/td&gt;&lt;td&gt;0&lt;/td&gt;&lt;td&gt;1&lt;/td&gt;&lt;td&gt;3&lt;/td&gt;&lt;td&gt;0.04&lt;/td&gt;&lt;td&gt;19&lt;/td&gt;&lt;td&gt;0.23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f t="shared" si="0"/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f t="shared" si="1"/>
        <v>0</v>
      </c>
      <c r="Z12"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90</v>
      </c>
      <c r="C14">
        <v>0</v>
      </c>
      <c r="D14">
        <v>0</v>
      </c>
      <c r="E14">
        <v>1</v>
      </c>
      <c r="F14">
        <v>2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6</v>
      </c>
      <c r="O14" s="1">
        <f t="shared" si="0"/>
        <v>6.6666666666666666E-2</v>
      </c>
      <c r="P14">
        <v>0</v>
      </c>
      <c r="Q14">
        <v>6</v>
      </c>
      <c r="R14">
        <v>4</v>
      </c>
      <c r="S14">
        <v>1</v>
      </c>
      <c r="T14">
        <v>4</v>
      </c>
      <c r="U14">
        <v>1</v>
      </c>
      <c r="V14">
        <v>0</v>
      </c>
      <c r="W14">
        <v>5</v>
      </c>
      <c r="X14">
        <v>21</v>
      </c>
      <c r="Y14" s="1">
        <f t="shared" si="1"/>
        <v>0.23333333333333334</v>
      </c>
      <c r="Z14">
        <v>27</v>
      </c>
      <c r="AA14" s="1">
        <f t="shared" si="2"/>
        <v>0.3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90&lt;/td&gt;&lt;td&gt;0&lt;/td&gt;&lt;td&gt;0&lt;/td&gt;&lt;td&gt;1&lt;/td&gt;&lt;td&gt;2&lt;/td&gt;&lt;td&gt;0&lt;/td&gt;&lt;td&gt;0&lt;/td&gt;&lt;td&gt;0&lt;/td&gt;&lt;td&gt;0&lt;/td&gt;&lt;td&gt;2&lt;/td&gt;&lt;td&gt;1&lt;/td&gt;&lt;td&gt;0&lt;/td&gt;&lt;td&gt;6&lt;/td&gt;&lt;td&gt;0.07&lt;/td&gt;&lt;td&gt;27&lt;/td&gt;&lt;td&gt;0.30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90&lt;/td&gt;&lt;td&gt;0&lt;/td&gt;&lt;td&gt;6&lt;/td&gt;&lt;td&gt;4&lt;/td&gt;&lt;td&gt;1&lt;/td&gt;&lt;td&gt;4&lt;/td&gt;&lt;td&gt;1&lt;/td&gt;&lt;td&gt;0&lt;/td&gt;&lt;td&gt;5&lt;/td&gt;&lt;td&gt;21&lt;/td&gt;&lt;td&gt;0.23&lt;/td&gt;&lt;td&gt;27&lt;/td&gt;&lt;td&gt;0.30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2</v>
      </c>
      <c r="O15" s="1">
        <f t="shared" si="0"/>
        <v>2.2222222222222223E-2</v>
      </c>
      <c r="P15">
        <v>2</v>
      </c>
      <c r="Q15">
        <v>4</v>
      </c>
      <c r="R15">
        <v>0</v>
      </c>
      <c r="S15">
        <v>2</v>
      </c>
      <c r="T15">
        <v>4</v>
      </c>
      <c r="U15">
        <v>0</v>
      </c>
      <c r="V15">
        <v>9</v>
      </c>
      <c r="W15">
        <v>3</v>
      </c>
      <c r="X15">
        <v>24</v>
      </c>
      <c r="Y15" s="1">
        <f t="shared" si="1"/>
        <v>0.26666666666666666</v>
      </c>
      <c r="Z15">
        <v>26</v>
      </c>
      <c r="AA15" s="1">
        <f t="shared" si="2"/>
        <v>0.28888888888888886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0&lt;/td&gt;&lt;td&gt;0&lt;/td&gt;&lt;td&gt;0&lt;/td&gt;&lt;td&gt;2&lt;/td&gt;&lt;td&gt;0&lt;/td&gt;&lt;td&gt;0&lt;/td&gt;&lt;td&gt;0&lt;/td&gt;&lt;td&gt;0&lt;/td&gt;&lt;td&gt;2&lt;/td&gt;&lt;td&gt;0.02&lt;/td&gt;&lt;td&gt;26&lt;/td&gt;&lt;td&gt;0.29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2&lt;/td&gt;&lt;td&gt;4&lt;/td&gt;&lt;td&gt;0&lt;/td&gt;&lt;td&gt;2&lt;/td&gt;&lt;td&gt;4&lt;/td&gt;&lt;td&gt;0&lt;/td&gt;&lt;td&gt;9&lt;/td&gt;&lt;td&gt;3&lt;/td&gt;&lt;td&gt;24&lt;/td&gt;&lt;td&gt;0.27&lt;/td&gt;&lt;td&gt;26&lt;/td&gt;&lt;td&gt;0.29&lt;/td&gt;&lt;/tr&gt;</v>
      </c>
    </row>
    <row r="16" spans="1:46" x14ac:dyDescent="0.3">
      <c r="A16" t="s">
        <v>39</v>
      </c>
      <c r="B16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3</v>
      </c>
      <c r="L16">
        <v>0</v>
      </c>
      <c r="M16">
        <v>0</v>
      </c>
      <c r="N16">
        <v>5</v>
      </c>
      <c r="O16" s="1">
        <f t="shared" si="0"/>
        <v>0.125</v>
      </c>
      <c r="P16">
        <v>0</v>
      </c>
      <c r="Q16">
        <v>2</v>
      </c>
      <c r="R16">
        <v>0</v>
      </c>
      <c r="S16">
        <v>0</v>
      </c>
      <c r="T16">
        <v>1</v>
      </c>
      <c r="U16">
        <v>1</v>
      </c>
      <c r="V16">
        <v>0</v>
      </c>
      <c r="W16">
        <v>1</v>
      </c>
      <c r="X16">
        <v>5</v>
      </c>
      <c r="Y16" s="1">
        <f t="shared" si="1"/>
        <v>0.125</v>
      </c>
      <c r="Z16">
        <v>10</v>
      </c>
      <c r="AA16" s="1">
        <f t="shared" si="2"/>
        <v>0.25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40&lt;/td&gt;&lt;td&gt;0&lt;/td&gt;&lt;td&gt;0&lt;/td&gt;&lt;td&gt;0&lt;/td&gt;&lt;td&gt;1&lt;/td&gt;&lt;td&gt;0&lt;/td&gt;&lt;td&gt;0&lt;/td&gt;&lt;td&gt;0&lt;/td&gt;&lt;td&gt;1&lt;/td&gt;&lt;td&gt;3&lt;/td&gt;&lt;td&gt;0&lt;/td&gt;&lt;td&gt;0&lt;/td&gt;&lt;td&gt;5&lt;/td&gt;&lt;td&gt;0.13&lt;/td&gt;&lt;td&gt;10&lt;/td&gt;&lt;td&gt;0.25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40&lt;/td&gt;&lt;td&gt;0&lt;/td&gt;&lt;td&gt;2&lt;/td&gt;&lt;td&gt;0&lt;/td&gt;&lt;td&gt;0&lt;/td&gt;&lt;td&gt;1&lt;/td&gt;&lt;td&gt;1&lt;/td&gt;&lt;td&gt;0&lt;/td&gt;&lt;td&gt;1&lt;/td&gt;&lt;td&gt;5&lt;/td&gt;&lt;td&gt;0.13&lt;/td&gt;&lt;td&gt;10&lt;/td&gt;&lt;td&gt;0.25&lt;/td&gt;&lt;/tr&gt;</v>
      </c>
    </row>
    <row r="17" spans="1:46" x14ac:dyDescent="0.3">
      <c r="A17" t="s">
        <v>40</v>
      </c>
      <c r="B17">
        <v>69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1</v>
      </c>
      <c r="J17">
        <v>3</v>
      </c>
      <c r="K17">
        <v>1</v>
      </c>
      <c r="L17">
        <v>1</v>
      </c>
      <c r="M17">
        <v>1</v>
      </c>
      <c r="N17">
        <v>9</v>
      </c>
      <c r="O17" s="1">
        <f t="shared" si="0"/>
        <v>0.13043478260869565</v>
      </c>
      <c r="P17">
        <v>1</v>
      </c>
      <c r="Q17">
        <v>3</v>
      </c>
      <c r="R17">
        <v>2</v>
      </c>
      <c r="S17">
        <v>1</v>
      </c>
      <c r="T17">
        <v>0</v>
      </c>
      <c r="U17">
        <v>0</v>
      </c>
      <c r="V17">
        <v>2</v>
      </c>
      <c r="W17">
        <v>3</v>
      </c>
      <c r="X17">
        <v>12</v>
      </c>
      <c r="Y17" s="1">
        <f t="shared" si="1"/>
        <v>0.17391304347826086</v>
      </c>
      <c r="Z17">
        <v>21</v>
      </c>
      <c r="AA17" s="1">
        <f t="shared" si="2"/>
        <v>0.30434782608695654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69&lt;/td&gt;&lt;td&gt;0&lt;/td&gt;&lt;td&gt;0&lt;/td&gt;&lt;td&gt;0&lt;/td&gt;&lt;td&gt;2&lt;/td&gt;&lt;td&gt;0&lt;/td&gt;&lt;td&gt;0&lt;/td&gt;&lt;td&gt;1&lt;/td&gt;&lt;td&gt;3&lt;/td&gt;&lt;td&gt;1&lt;/td&gt;&lt;td&gt;1&lt;/td&gt;&lt;td&gt;1&lt;/td&gt;&lt;td&gt;9&lt;/td&gt;&lt;td&gt;0.13&lt;/td&gt;&lt;td&gt;21&lt;/td&gt;&lt;td&gt;0.30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69&lt;/td&gt;&lt;td&gt;1&lt;/td&gt;&lt;td&gt;3&lt;/td&gt;&lt;td&gt;2&lt;/td&gt;&lt;td&gt;1&lt;/td&gt;&lt;td&gt;0&lt;/td&gt;&lt;td&gt;0&lt;/td&gt;&lt;td&gt;2&lt;/td&gt;&lt;td&gt;3&lt;/td&gt;&lt;td&gt;12&lt;/td&gt;&lt;td&gt;0.17&lt;/td&gt;&lt;td&gt;21&lt;/td&gt;&lt;td&gt;0.30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60</v>
      </c>
      <c r="C19">
        <v>0</v>
      </c>
      <c r="D19">
        <v>0</v>
      </c>
      <c r="E19">
        <v>2</v>
      </c>
      <c r="F19">
        <v>1</v>
      </c>
      <c r="G19">
        <v>0</v>
      </c>
      <c r="H19">
        <v>1</v>
      </c>
      <c r="I19">
        <v>2</v>
      </c>
      <c r="J19">
        <v>2</v>
      </c>
      <c r="K19">
        <v>2</v>
      </c>
      <c r="L19">
        <v>2</v>
      </c>
      <c r="M19">
        <v>1</v>
      </c>
      <c r="N19">
        <v>13</v>
      </c>
      <c r="O19" s="1">
        <f t="shared" si="0"/>
        <v>0.21666666666666667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 s="1">
        <f t="shared" si="1"/>
        <v>3.3333333333333333E-2</v>
      </c>
      <c r="Z19">
        <v>15</v>
      </c>
      <c r="AA19" s="1">
        <f t="shared" si="2"/>
        <v>0.25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60&lt;/td&gt;&lt;td&gt;0&lt;/td&gt;&lt;td&gt;0&lt;/td&gt;&lt;td&gt;2&lt;/td&gt;&lt;td&gt;1&lt;/td&gt;&lt;td&gt;0&lt;/td&gt;&lt;td&gt;1&lt;/td&gt;&lt;td&gt;2&lt;/td&gt;&lt;td&gt;2&lt;/td&gt;&lt;td&gt;2&lt;/td&gt;&lt;td&gt;2&lt;/td&gt;&lt;td&gt;1&lt;/td&gt;&lt;td&gt;13&lt;/td&gt;&lt;td&gt;0.22&lt;/td&gt;&lt;td&gt;15&lt;/td&gt;&lt;td&gt;0.25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60&lt;/td&gt;&lt;td&gt;1&lt;/td&gt;&lt;td&gt;0&lt;/td&gt;&lt;td&gt;1&lt;/td&gt;&lt;td&gt;0&lt;/td&gt;&lt;td&gt;0&lt;/td&gt;&lt;td&gt;0&lt;/td&gt;&lt;td&gt;0&lt;/td&gt;&lt;td&gt;0&lt;/td&gt;&lt;td&gt;2&lt;/td&gt;&lt;td&gt;0.03&lt;/td&gt;&lt;td&gt;15&lt;/td&gt;&lt;td&gt;0.25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90</v>
      </c>
      <c r="C21">
        <v>0</v>
      </c>
      <c r="D21">
        <v>0</v>
      </c>
      <c r="E21">
        <v>0</v>
      </c>
      <c r="F21">
        <v>4</v>
      </c>
      <c r="G21">
        <v>3</v>
      </c>
      <c r="H21">
        <v>0</v>
      </c>
      <c r="I21">
        <v>3</v>
      </c>
      <c r="J21">
        <v>1</v>
      </c>
      <c r="K21">
        <v>1</v>
      </c>
      <c r="L21">
        <v>0</v>
      </c>
      <c r="M21">
        <v>0</v>
      </c>
      <c r="N21">
        <v>9</v>
      </c>
      <c r="O21" s="1">
        <f t="shared" si="0"/>
        <v>0.1</v>
      </c>
      <c r="P21">
        <v>3</v>
      </c>
      <c r="Q21">
        <v>6</v>
      </c>
      <c r="R21">
        <v>0</v>
      </c>
      <c r="S21">
        <v>0</v>
      </c>
      <c r="T21">
        <v>2</v>
      </c>
      <c r="U21">
        <v>2</v>
      </c>
      <c r="V21">
        <v>6</v>
      </c>
      <c r="W21">
        <v>5</v>
      </c>
      <c r="X21">
        <v>24</v>
      </c>
      <c r="Y21" s="1">
        <f t="shared" si="1"/>
        <v>0.26666666666666666</v>
      </c>
      <c r="Z21">
        <v>33</v>
      </c>
      <c r="AA21" s="1">
        <f t="shared" si="2"/>
        <v>0.36666666666666664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90&lt;/td&gt;&lt;td&gt;0&lt;/td&gt;&lt;td&gt;0&lt;/td&gt;&lt;td&gt;0&lt;/td&gt;&lt;td&gt;4&lt;/td&gt;&lt;td&gt;3&lt;/td&gt;&lt;td&gt;0&lt;/td&gt;&lt;td&gt;3&lt;/td&gt;&lt;td&gt;1&lt;/td&gt;&lt;td&gt;1&lt;/td&gt;&lt;td&gt;0&lt;/td&gt;&lt;td&gt;0&lt;/td&gt;&lt;td&gt;9&lt;/td&gt;&lt;td&gt;0.10&lt;/td&gt;&lt;td&gt;33&lt;/td&gt;&lt;td&gt;0.37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90&lt;/td&gt;&lt;td&gt;3&lt;/td&gt;&lt;td&gt;6&lt;/td&gt;&lt;td&gt;0&lt;/td&gt;&lt;td&gt;0&lt;/td&gt;&lt;td&gt;2&lt;/td&gt;&lt;td&gt;2&lt;/td&gt;&lt;td&gt;6&lt;/td&gt;&lt;td&gt;5&lt;/td&gt;&lt;td&gt;24&lt;/td&gt;&lt;td&gt;0.27&lt;/td&gt;&lt;td&gt;33&lt;/td&gt;&lt;td&gt;0.37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2</v>
      </c>
      <c r="G22">
        <v>0</v>
      </c>
      <c r="H22">
        <v>1</v>
      </c>
      <c r="I22">
        <v>0</v>
      </c>
      <c r="J22">
        <v>2</v>
      </c>
      <c r="K22">
        <v>0</v>
      </c>
      <c r="L22">
        <v>0</v>
      </c>
      <c r="M22">
        <v>0</v>
      </c>
      <c r="N22">
        <v>5</v>
      </c>
      <c r="O22" s="1">
        <f t="shared" si="0"/>
        <v>5.5555555555555552E-2</v>
      </c>
      <c r="P22">
        <v>1</v>
      </c>
      <c r="Q22">
        <v>4</v>
      </c>
      <c r="R22">
        <v>1</v>
      </c>
      <c r="S22">
        <v>3</v>
      </c>
      <c r="T22">
        <v>3</v>
      </c>
      <c r="U22">
        <v>0</v>
      </c>
      <c r="V22">
        <v>3</v>
      </c>
      <c r="W22">
        <v>2</v>
      </c>
      <c r="X22">
        <v>17</v>
      </c>
      <c r="Y22" s="1">
        <f t="shared" si="1"/>
        <v>0.18888888888888888</v>
      </c>
      <c r="Z22">
        <v>22</v>
      </c>
      <c r="AA22" s="1">
        <f t="shared" si="2"/>
        <v>0.24444444444444444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2&lt;/td&gt;&lt;td&gt;0&lt;/td&gt;&lt;td&gt;1&lt;/td&gt;&lt;td&gt;0&lt;/td&gt;&lt;td&gt;2&lt;/td&gt;&lt;td&gt;0&lt;/td&gt;&lt;td&gt;0&lt;/td&gt;&lt;td&gt;0&lt;/td&gt;&lt;td&gt;5&lt;/td&gt;&lt;td&gt;0.06&lt;/td&gt;&lt;td&gt;22&lt;/td&gt;&lt;td&gt;0.24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1&lt;/td&gt;&lt;td&gt;4&lt;/td&gt;&lt;td&gt;1&lt;/td&gt;&lt;td&gt;3&lt;/td&gt;&lt;td&gt;3&lt;/td&gt;&lt;td&gt;0&lt;/td&gt;&lt;td&gt;3&lt;/td&gt;&lt;td&gt;2&lt;/td&gt;&lt;td&gt;17&lt;/td&gt;&lt;td&gt;0.19&lt;/td&gt;&lt;td&gt;22&lt;/td&gt;&lt;td&gt;0.24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90</v>
      </c>
      <c r="C24">
        <v>0</v>
      </c>
      <c r="D24">
        <v>0</v>
      </c>
      <c r="E24">
        <v>2</v>
      </c>
      <c r="F24">
        <v>9</v>
      </c>
      <c r="G24">
        <v>2</v>
      </c>
      <c r="H24">
        <v>0</v>
      </c>
      <c r="I24">
        <v>4</v>
      </c>
      <c r="J24">
        <v>0</v>
      </c>
      <c r="K24">
        <v>1</v>
      </c>
      <c r="L24">
        <v>2</v>
      </c>
      <c r="M24">
        <v>1</v>
      </c>
      <c r="N24">
        <v>19</v>
      </c>
      <c r="O24" s="1">
        <f t="shared" si="0"/>
        <v>0.21111111111111111</v>
      </c>
      <c r="P24">
        <v>2</v>
      </c>
      <c r="Q24">
        <v>4</v>
      </c>
      <c r="R24">
        <v>2</v>
      </c>
      <c r="S24">
        <v>0</v>
      </c>
      <c r="T24">
        <v>0</v>
      </c>
      <c r="U24">
        <v>0</v>
      </c>
      <c r="V24">
        <v>1</v>
      </c>
      <c r="W24">
        <v>5</v>
      </c>
      <c r="X24">
        <v>14</v>
      </c>
      <c r="Y24" s="1">
        <f t="shared" si="1"/>
        <v>0.15555555555555556</v>
      </c>
      <c r="Z24">
        <v>33</v>
      </c>
      <c r="AA24" s="1">
        <f t="shared" si="2"/>
        <v>0.36666666666666664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90&lt;/td&gt;&lt;td&gt;0&lt;/td&gt;&lt;td&gt;0&lt;/td&gt;&lt;td&gt;2&lt;/td&gt;&lt;td&gt;9&lt;/td&gt;&lt;td&gt;2&lt;/td&gt;&lt;td&gt;0&lt;/td&gt;&lt;td&gt;4&lt;/td&gt;&lt;td&gt;0&lt;/td&gt;&lt;td&gt;1&lt;/td&gt;&lt;td&gt;2&lt;/td&gt;&lt;td&gt;1&lt;/td&gt;&lt;td&gt;19&lt;/td&gt;&lt;td&gt;0.21&lt;/td&gt;&lt;td&gt;33&lt;/td&gt;&lt;td&gt;0.37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90&lt;/td&gt;&lt;td&gt;2&lt;/td&gt;&lt;td&gt;4&lt;/td&gt;&lt;td&gt;2&lt;/td&gt;&lt;td&gt;0&lt;/td&gt;&lt;td&gt;0&lt;/td&gt;&lt;td&gt;0&lt;/td&gt;&lt;td&gt;1&lt;/td&gt;&lt;td&gt;5&lt;/td&gt;&lt;td&gt;14&lt;/td&gt;&lt;td&gt;0.16&lt;/td&gt;&lt;td&gt;33&lt;/td&gt;&lt;td&gt;0.37&lt;/td&gt;&lt;/tr&gt;</v>
      </c>
    </row>
    <row r="26" spans="1:46" x14ac:dyDescent="0.3">
      <c r="A26" t="str">
        <f>AC4</f>
        <v>&lt;tr&gt;&lt;td&gt;Makovicka&lt;/td&gt;&lt;td&gt;54&lt;/td&gt;&lt;td&gt;0&lt;/td&gt;&lt;td&gt;0&lt;/td&gt;&lt;td&gt;1&lt;/td&gt;&lt;td&gt;0&lt;/td&gt;&lt;td&gt;1&lt;/td&gt;&lt;td&gt;0&lt;/td&gt;&lt;td&gt;0&lt;/td&gt;&lt;td&gt;3&lt;/td&gt;&lt;td&gt;2&lt;/td&gt;&lt;td&gt;0&lt;/td&gt;&lt;td&gt;0&lt;/td&gt;&lt;td&gt;6&lt;/td&gt;&lt;td&gt;0.11&lt;/td&gt;&lt;td&gt;12&lt;/td&gt;&lt;td&gt;0.22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0&lt;/td&gt;&lt;td&gt;0&lt;/td&gt;&lt;td&gt;0&lt;/td&gt;&lt;td&gt;2&lt;/td&gt;&lt;td&gt;0&lt;/td&gt;&lt;td&gt;0&lt;/td&gt;&lt;td&gt;0&lt;/td&gt;&lt;td&gt;0&lt;/td&gt;&lt;td&gt;2&lt;/td&gt;&lt;td&gt;0.02&lt;/td&gt;&lt;td&gt;26&lt;/td&gt;&lt;td&gt;0.29&lt;/td&gt;&lt;/tr&gt;</v>
      </c>
    </row>
    <row r="28" spans="1:46" x14ac:dyDescent="0.3">
      <c r="A28" t="str">
        <f>AC9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9" spans="1:46" x14ac:dyDescent="0.3">
      <c r="A29" t="str">
        <f>AC24</f>
        <v>&lt;tr&gt;&lt;td&gt;Sant&lt;/td&gt;&lt;td&gt;90&lt;/td&gt;&lt;td&gt;0&lt;/td&gt;&lt;td&gt;0&lt;/td&gt;&lt;td&gt;2&lt;/td&gt;&lt;td&gt;9&lt;/td&gt;&lt;td&gt;2&lt;/td&gt;&lt;td&gt;0&lt;/td&gt;&lt;td&gt;4&lt;/td&gt;&lt;td&gt;0&lt;/td&gt;&lt;td&gt;1&lt;/td&gt;&lt;td&gt;2&lt;/td&gt;&lt;td&gt;1&lt;/td&gt;&lt;td&gt;19&lt;/td&gt;&lt;td&gt;0.21&lt;/td&gt;&lt;td&gt;33&lt;/td&gt;&lt;td&gt;0.37&lt;/td&gt;&lt;/tr&gt;</v>
      </c>
    </row>
    <row r="30" spans="1:46" x14ac:dyDescent="0.3">
      <c r="A30" t="str">
        <f>AC12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2&lt;/td&gt;&lt;td&gt;0&lt;/td&gt;&lt;td&gt;1&lt;/td&gt;&lt;td&gt;0&lt;/td&gt;&lt;td&gt;2&lt;/td&gt;&lt;td&gt;0&lt;/td&gt;&lt;td&gt;0&lt;/td&gt;&lt;td&gt;0&lt;/td&gt;&lt;td&gt;5&lt;/td&gt;&lt;td&gt;0.06&lt;/td&gt;&lt;td&gt;22&lt;/td&gt;&lt;td&gt;0.24&lt;/td&gt;&lt;/tr&gt;</v>
      </c>
    </row>
    <row r="32" spans="1:46" x14ac:dyDescent="0.3">
      <c r="A32" t="str">
        <f>AC3</f>
        <v>&lt;tr&gt;&lt;td&gt;Geraneo&lt;/td&gt;&lt;td&gt;11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0.18&lt;/td&gt;&lt;/tr&gt;</v>
      </c>
    </row>
    <row r="33" spans="1:1" x14ac:dyDescent="0.3">
      <c r="A33" t="str">
        <f>AC7</f>
        <v>&lt;tr&gt;&lt;td&gt;Donnelly&lt;/td&gt;&lt;td&gt;90&lt;/td&gt;&lt;td&gt;0&lt;/td&gt;&lt;td&gt;0&lt;/td&gt;&lt;td&gt;0&lt;/td&gt;&lt;td&gt;7&lt;/td&gt;&lt;td&gt;0&lt;/td&gt;&lt;td&gt;2&lt;/td&gt;&lt;td&gt;2&lt;/td&gt;&lt;td&gt;0&lt;/td&gt;&lt;td&gt;1&lt;/td&gt;&lt;td&gt;1&lt;/td&gt;&lt;td&gt;0&lt;/td&gt;&lt;td&gt;13&lt;/td&gt;&lt;td&gt;0.14&lt;/td&gt;&lt;td&gt;41&lt;/td&gt;&lt;td&gt;0.46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90&lt;/td&gt;&lt;td&gt;0&lt;/td&gt;&lt;td&gt;0&lt;/td&gt;&lt;td&gt;1&lt;/td&gt;&lt;td&gt;2&lt;/td&gt;&lt;td&gt;0&lt;/td&gt;&lt;td&gt;0&lt;/td&gt;&lt;td&gt;0&lt;/td&gt;&lt;td&gt;0&lt;/td&gt;&lt;td&gt;2&lt;/td&gt;&lt;td&gt;1&lt;/td&gt;&lt;td&gt;0&lt;/td&gt;&lt;td&gt;6&lt;/td&gt;&lt;td&gt;0.07&lt;/td&gt;&lt;td&gt;27&lt;/td&gt;&lt;td&gt;0.30&lt;/td&gt;&lt;/tr&gt;</v>
      </c>
    </row>
    <row r="38" spans="1:1" x14ac:dyDescent="0.3">
      <c r="A38" t="str">
        <f>AC21</f>
        <v>&lt;tr&gt;&lt;td&gt;Snowden&lt;/td&gt;&lt;td&gt;90&lt;/td&gt;&lt;td&gt;0&lt;/td&gt;&lt;td&gt;0&lt;/td&gt;&lt;td&gt;0&lt;/td&gt;&lt;td&gt;4&lt;/td&gt;&lt;td&gt;3&lt;/td&gt;&lt;td&gt;0&lt;/td&gt;&lt;td&gt;3&lt;/td&gt;&lt;td&gt;1&lt;/td&gt;&lt;td&gt;1&lt;/td&gt;&lt;td&gt;0&lt;/td&gt;&lt;td&gt;0&lt;/td&gt;&lt;td&gt;9&lt;/td&gt;&lt;td&gt;0.10&lt;/td&gt;&lt;td&gt;33&lt;/td&gt;&lt;td&gt;0.37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36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0.11&lt;/td&gt;&lt;td&gt;4&lt;/td&gt;&lt;td&gt;0.11&lt;/td&gt;&lt;/tr&gt;</v>
      </c>
    </row>
    <row r="42" spans="1:1" x14ac:dyDescent="0.3">
      <c r="A42" t="str">
        <f>AC10</f>
        <v>&lt;tr&gt;&lt;td&gt;Rudney&lt;/td&gt;&lt;td&gt;83&lt;/td&gt;&lt;td&gt;0&lt;/td&gt;&lt;td&gt;0&lt;/td&gt;&lt;td&gt;1&lt;/td&gt;&lt;td&gt;5&lt;/td&gt;&lt;td&gt;2&lt;/td&gt;&lt;td&gt;0&lt;/td&gt;&lt;td&gt;1&lt;/td&gt;&lt;td&gt;1&lt;/td&gt;&lt;td&gt;2&lt;/td&gt;&lt;td&gt;4&lt;/td&gt;&lt;td&gt;2&lt;/td&gt;&lt;td&gt;16&lt;/td&gt;&lt;td&gt;0.19&lt;/td&gt;&lt;td&gt;19&lt;/td&gt;&lt;td&gt;0.23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60&lt;/td&gt;&lt;td&gt;0&lt;/td&gt;&lt;td&gt;0&lt;/td&gt;&lt;td&gt;2&lt;/td&gt;&lt;td&gt;1&lt;/td&gt;&lt;td&gt;0&lt;/td&gt;&lt;td&gt;1&lt;/td&gt;&lt;td&gt;2&lt;/td&gt;&lt;td&gt;2&lt;/td&gt;&lt;td&gt;2&lt;/td&gt;&lt;td&gt;2&lt;/td&gt;&lt;td&gt;1&lt;/td&gt;&lt;td&gt;13&lt;/td&gt;&lt;td&gt;0.22&lt;/td&gt;&lt;td&gt;15&lt;/td&gt;&lt;td&gt;0.25&lt;/td&gt;&lt;/tr&gt;</v>
      </c>
    </row>
    <row r="45" spans="1:1" x14ac:dyDescent="0.3">
      <c r="A45" t="str">
        <f>AC17</f>
        <v>&lt;tr&gt;&lt;td&gt;Carpenter&lt;/td&gt;&lt;td&gt;69&lt;/td&gt;&lt;td&gt;0&lt;/td&gt;&lt;td&gt;0&lt;/td&gt;&lt;td&gt;0&lt;/td&gt;&lt;td&gt;2&lt;/td&gt;&lt;td&gt;0&lt;/td&gt;&lt;td&gt;0&lt;/td&gt;&lt;td&gt;1&lt;/td&gt;&lt;td&gt;3&lt;/td&gt;&lt;td&gt;1&lt;/td&gt;&lt;td&gt;1&lt;/td&gt;&lt;td&gt;1&lt;/td&gt;&lt;td&gt;9&lt;/td&gt;&lt;td&gt;0.13&lt;/td&gt;&lt;td&gt;21&lt;/td&gt;&lt;td&gt;0.30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40&lt;/td&gt;&lt;td&gt;0&lt;/td&gt;&lt;td&gt;0&lt;/td&gt;&lt;td&gt;0&lt;/td&gt;&lt;td&gt;1&lt;/td&gt;&lt;td&gt;0&lt;/td&gt;&lt;td&gt;0&lt;/td&gt;&lt;td&gt;0&lt;/td&gt;&lt;td&gt;1&lt;/td&gt;&lt;td&gt;3&lt;/td&gt;&lt;td&gt;0&lt;/td&gt;&lt;td&gt;0&lt;/td&gt;&lt;td&gt;5&lt;/td&gt;&lt;td&gt;0.13&lt;/td&gt;&lt;td&gt;10&lt;/td&gt;&lt;td&gt;0.25&lt;/td&gt;&lt;/tr&gt;</v>
      </c>
    </row>
    <row r="48" spans="1:1" x14ac:dyDescent="0.3">
      <c r="A48" t="str">
        <f>AC6</f>
        <v>&lt;tr&gt;&lt;td&gt;Wistrom&lt;/td&gt;&lt;td&gt;7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0.14&lt;/td&gt;&lt;td&gt;1&lt;/td&gt;&lt;td&gt;0.14&lt;/td&gt;&lt;/tr&gt;</v>
      </c>
    </row>
    <row r="50" spans="1:1" x14ac:dyDescent="0.3">
      <c r="A50" t="str">
        <f>AT4</f>
        <v>&lt;tr&gt;&lt;td&gt;Makovicka&lt;/td&gt;&lt;td&gt;54&lt;/td&gt;&lt;td&gt;0&lt;/td&gt;&lt;td&gt;2&lt;/td&gt;&lt;td&gt;1&lt;/td&gt;&lt;td&gt;0&lt;/td&gt;&lt;td&gt;0&lt;/td&gt;&lt;td&gt;0&lt;/td&gt;&lt;td&gt;2&lt;/td&gt;&lt;td&gt;1&lt;/td&gt;&lt;td&gt;6&lt;/td&gt;&lt;td&gt;0.11&lt;/td&gt;&lt;td&gt;12&lt;/td&gt;&lt;td&gt;0.22&lt;/td&gt;&lt;/tr&gt;</v>
      </c>
    </row>
    <row r="51" spans="1:1" x14ac:dyDescent="0.3">
      <c r="A51" t="str">
        <f>AT15</f>
        <v>&lt;tr&gt;&lt;td&gt;Williams&lt;/td&gt;&lt;td&gt;90&lt;/td&gt;&lt;td&gt;2&lt;/td&gt;&lt;td&gt;4&lt;/td&gt;&lt;td&gt;0&lt;/td&gt;&lt;td&gt;2&lt;/td&gt;&lt;td&gt;4&lt;/td&gt;&lt;td&gt;0&lt;/td&gt;&lt;td&gt;9&lt;/td&gt;&lt;td&gt;3&lt;/td&gt;&lt;td&gt;24&lt;/td&gt;&lt;td&gt;0.27&lt;/td&gt;&lt;td&gt;26&lt;/td&gt;&lt;td&gt;0.29&lt;/td&gt;&lt;/tr&gt;</v>
      </c>
    </row>
    <row r="52" spans="1:1" x14ac:dyDescent="0.3">
      <c r="A52" t="str">
        <f>AT9</f>
        <v>&lt;tr&gt;&lt;td&gt;Guyott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3" spans="1:1" x14ac:dyDescent="0.3">
      <c r="A53" t="str">
        <f>AT24</f>
        <v>&lt;tr&gt;&lt;td&gt;Sant&lt;/td&gt;&lt;td&gt;90&lt;/td&gt;&lt;td&gt;2&lt;/td&gt;&lt;td&gt;4&lt;/td&gt;&lt;td&gt;2&lt;/td&gt;&lt;td&gt;0&lt;/td&gt;&lt;td&gt;0&lt;/td&gt;&lt;td&gt;0&lt;/td&gt;&lt;td&gt;1&lt;/td&gt;&lt;td&gt;5&lt;/td&gt;&lt;td&gt;14&lt;/td&gt;&lt;td&gt;0.16&lt;/td&gt;&lt;td&gt;33&lt;/td&gt;&lt;td&gt;0.37&lt;/td&gt;&lt;/tr&gt;</v>
      </c>
    </row>
    <row r="54" spans="1:1" x14ac:dyDescent="0.3">
      <c r="A54" t="str">
        <f>AT12</f>
        <v>&lt;tr&gt;&lt;td&gt;Re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5" spans="1:1" x14ac:dyDescent="0.3">
      <c r="A55" t="str">
        <f>AT22</f>
        <v>&lt;tr&gt;&lt;td&gt;Borer&lt;/td&gt;&lt;td&gt;90&lt;/td&gt;&lt;td&gt;1&lt;/td&gt;&lt;td&gt;4&lt;/td&gt;&lt;td&gt;1&lt;/td&gt;&lt;td&gt;3&lt;/td&gt;&lt;td&gt;3&lt;/td&gt;&lt;td&gt;0&lt;/td&gt;&lt;td&gt;3&lt;/td&gt;&lt;td&gt;2&lt;/td&gt;&lt;td&gt;17&lt;/td&gt;&lt;td&gt;0.19&lt;/td&gt;&lt;td&gt;22&lt;/td&gt;&lt;td&gt;0.24&lt;/td&gt;&lt;/tr&gt;</v>
      </c>
    </row>
    <row r="56" spans="1:1" x14ac:dyDescent="0.3">
      <c r="A56" t="str">
        <f>AT3</f>
        <v>&lt;tr&gt;&lt;td&gt;Geraneo&lt;/td&gt;&lt;td&gt;11&lt;/td&gt;&lt;td&gt;2&lt;/td&gt;&lt;td&gt;0&lt;/td&gt;&lt;td&gt;0&lt;/td&gt;&lt;td&gt;0&lt;/td&gt;&lt;td&gt;0&lt;/td&gt;&lt;td&gt;0&lt;/td&gt;&lt;td&gt;0&lt;/td&gt;&lt;td&gt;0&lt;/td&gt;&lt;td&gt;2&lt;/td&gt;&lt;td&gt;0.18&lt;/td&gt;&lt;td&gt;2&lt;/td&gt;&lt;td&gt;0.18&lt;/td&gt;&lt;/tr&gt;</v>
      </c>
    </row>
    <row r="57" spans="1:1" x14ac:dyDescent="0.3">
      <c r="A57" t="str">
        <f>AT7</f>
        <v>&lt;tr&gt;&lt;td&gt;Donnelly&lt;/td&gt;&lt;td&gt;90&lt;/td&gt;&lt;td&gt;3&lt;/td&gt;&lt;td&gt;9&lt;/td&gt;&lt;td&gt;4&lt;/td&gt;&lt;td&gt;2&lt;/td&gt;&lt;td&gt;1&lt;/td&gt;&lt;td&gt;2&lt;/td&gt;&lt;td&gt;5&lt;/td&gt;&lt;td&gt;2&lt;/td&gt;&lt;td&gt;28&lt;/td&gt;&lt;td&gt;0.31&lt;/td&gt;&lt;td&gt;41&lt;/td&gt;&lt;td&gt;0.46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90&lt;/td&gt;&lt;td&gt;0&lt;/td&gt;&lt;td&gt;6&lt;/td&gt;&lt;td&gt;4&lt;/td&gt;&lt;td&gt;1&lt;/td&gt;&lt;td&gt;4&lt;/td&gt;&lt;td&gt;1&lt;/td&gt;&lt;td&gt;0&lt;/td&gt;&lt;td&gt;5&lt;/td&gt;&lt;td&gt;21&lt;/td&gt;&lt;td&gt;0.23&lt;/td&gt;&lt;td&gt;27&lt;/td&gt;&lt;td&gt;0.30&lt;/td&gt;&lt;/tr&gt;</v>
      </c>
    </row>
    <row r="62" spans="1:1" x14ac:dyDescent="0.3">
      <c r="A62" t="str">
        <f>AT21</f>
        <v>&lt;tr&gt;&lt;td&gt;Snowden&lt;/td&gt;&lt;td&gt;90&lt;/td&gt;&lt;td&gt;3&lt;/td&gt;&lt;td&gt;6&lt;/td&gt;&lt;td&gt;0&lt;/td&gt;&lt;td&gt;0&lt;/td&gt;&lt;td&gt;2&lt;/td&gt;&lt;td&gt;2&lt;/td&gt;&lt;td&gt;6&lt;/td&gt;&lt;td&gt;5&lt;/td&gt;&lt;td&gt;24&lt;/td&gt;&lt;td&gt;0.27&lt;/td&gt;&lt;td&gt;33&lt;/td&gt;&lt;td&gt;0.37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36&lt;/td&gt;&lt;td&gt;0&lt;/td&gt;&lt;td&gt;0&lt;/td&gt;&lt;td&gt;0&lt;/td&gt;&lt;td&gt;0&lt;/td&gt;&lt;td&gt;0&lt;/td&gt;&lt;td&gt;0&lt;/td&gt;&lt;td&gt;0&lt;/td&gt;&lt;td&gt;0&lt;/td&gt;&lt;td&gt;0&lt;/td&gt;&lt;td&gt;0.00&lt;/td&gt;&lt;td&gt;4&lt;/td&gt;&lt;td&gt;0.11&lt;/td&gt;&lt;/tr&gt;</v>
      </c>
    </row>
    <row r="66" spans="1:23" x14ac:dyDescent="0.3">
      <c r="A66" t="str">
        <f>AT10</f>
        <v>&lt;tr&gt;&lt;td&gt;Rudney&lt;/td&gt;&lt;td&gt;83&lt;/td&gt;&lt;td&gt;0&lt;/td&gt;&lt;td&gt;2&lt;/td&gt;&lt;td&gt;0&lt;/td&gt;&lt;td&gt;0&lt;/td&gt;&lt;td&gt;0&lt;/td&gt;&lt;td&gt;0&lt;/td&gt;&lt;td&gt;0&lt;/td&gt;&lt;td&gt;1&lt;/td&gt;&lt;td&gt;3&lt;/td&gt;&lt;td&gt;0.04&lt;/td&gt;&lt;td&gt;19&lt;/td&gt;&lt;td&gt;0.23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60&lt;/td&gt;&lt;td&gt;1&lt;/td&gt;&lt;td&gt;0&lt;/td&gt;&lt;td&gt;1&lt;/td&gt;&lt;td&gt;0&lt;/td&gt;&lt;td&gt;0&lt;/td&gt;&lt;td&gt;0&lt;/td&gt;&lt;td&gt;0&lt;/td&gt;&lt;td&gt;0&lt;/td&gt;&lt;td&gt;2&lt;/td&gt;&lt;td&gt;0.03&lt;/td&gt;&lt;td&gt;15&lt;/td&gt;&lt;td&gt;0.25&lt;/td&gt;&lt;/tr&gt;</v>
      </c>
    </row>
    <row r="69" spans="1:23" x14ac:dyDescent="0.3">
      <c r="A69" t="str">
        <f>AT17</f>
        <v>&lt;tr&gt;&lt;td&gt;Carpenter&lt;/td&gt;&lt;td&gt;69&lt;/td&gt;&lt;td&gt;1&lt;/td&gt;&lt;td&gt;3&lt;/td&gt;&lt;td&gt;2&lt;/td&gt;&lt;td&gt;1&lt;/td&gt;&lt;td&gt;0&lt;/td&gt;&lt;td&gt;0&lt;/td&gt;&lt;td&gt;2&lt;/td&gt;&lt;td&gt;3&lt;/td&gt;&lt;td&gt;12&lt;/td&gt;&lt;td&gt;0.17&lt;/td&gt;&lt;td&gt;21&lt;/td&gt;&lt;td&gt;0.30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40&lt;/td&gt;&lt;td&gt;0&lt;/td&gt;&lt;td&gt;2&lt;/td&gt;&lt;td&gt;0&lt;/td&gt;&lt;td&gt;0&lt;/td&gt;&lt;td&gt;1&lt;/td&gt;&lt;td&gt;1&lt;/td&gt;&lt;td&gt;0&lt;/td&gt;&lt;td&gt;1&lt;/td&gt;&lt;td&gt;5&lt;/td&gt;&lt;td&gt;0.13&lt;/td&gt;&lt;td&gt;10&lt;/td&gt;&lt;td&gt;0.25&lt;/td&gt;&lt;/tr&gt;</v>
      </c>
    </row>
    <row r="72" spans="1:23" x14ac:dyDescent="0.3">
      <c r="A72" t="str">
        <f>AT6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0.00&lt;/td&gt;&lt;td&gt;1&lt;/td&gt;&lt;td&gt;0.14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54,</v>
      </c>
      <c r="B76" t="str">
        <f>"minutes: "&amp;$B$15&amp;","</f>
        <v>minutes: 90,</v>
      </c>
      <c r="C76" t="str">
        <f>"minutes: "&amp;$B$9&amp;","</f>
        <v>minutes: 0,</v>
      </c>
      <c r="D76" t="str">
        <f>"minutes: "&amp;$B$24&amp;","</f>
        <v>minutes: 90,</v>
      </c>
      <c r="E76" t="str">
        <f>"minutes: "&amp;$B$12&amp;","</f>
        <v>minutes: 0,</v>
      </c>
      <c r="F76" t="str">
        <f>"minutes: "&amp;$B$22&amp;","</f>
        <v>minutes: 90,</v>
      </c>
      <c r="G76" t="str">
        <f>"minutes: "&amp;$B$3&amp;","</f>
        <v>minutes: 11,</v>
      </c>
      <c r="H76" t="str">
        <f>"minutes: "&amp;$B$7&amp;","</f>
        <v>minutes: 90,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90,</v>
      </c>
      <c r="M76" t="str">
        <f>"minutes: "&amp;$B$21&amp;","</f>
        <v>minutes: 90,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36,</v>
      </c>
      <c r="Q76" t="str">
        <f>"minutes: "&amp;$B$10&amp;","</f>
        <v>minutes: 83,</v>
      </c>
      <c r="R76" t="str">
        <f>"minutes: "&amp;$B$2&amp;","</f>
        <v>minutes: 0,</v>
      </c>
      <c r="S76" t="str">
        <f>"minutes: "&amp;$B$19&amp;","</f>
        <v>minutes: 60,</v>
      </c>
      <c r="T76" t="str">
        <f>"minutes: "&amp;$B$17&amp;","</f>
        <v>minutes: 69,</v>
      </c>
      <c r="U76" t="str">
        <f>"minutes: "&amp;$B$18&amp;","</f>
        <v>minutes: 0,</v>
      </c>
      <c r="V76" t="str">
        <f>"minutes: "&amp;$B$16&amp;","</f>
        <v>minutes: 40,</v>
      </c>
      <c r="W76" t="str">
        <f>"minutes: "&amp;$B$6&amp;","</f>
        <v>minutes: 7,</v>
      </c>
    </row>
    <row r="77" spans="1:23" x14ac:dyDescent="0.3">
      <c r="A77" t="str">
        <f>"totalActions: "&amp;$Z$4&amp;","</f>
        <v>totalActions: 12,</v>
      </c>
      <c r="B77" t="str">
        <f>"totalActions: "&amp;$Z$15&amp;","</f>
        <v>totalActions: 26,</v>
      </c>
      <c r="C77" t="str">
        <f>"totalActions: "&amp;$Z$9&amp;","</f>
        <v>totalActions: 0,</v>
      </c>
      <c r="D77" t="str">
        <f>"totalActions: "&amp;$Z$24&amp;","</f>
        <v>totalActions: 33,</v>
      </c>
      <c r="E77" t="str">
        <f>"totalActions: "&amp;$Z$12&amp;","</f>
        <v>totalActions: 0,</v>
      </c>
      <c r="F77" t="str">
        <f>"totalActions: "&amp;$Z$22&amp;","</f>
        <v>totalActions: 22,</v>
      </c>
      <c r="G77" t="str">
        <f>"totalActions: "&amp;$Z$3&amp;","</f>
        <v>totalActions: 2,</v>
      </c>
      <c r="H77" t="str">
        <f>"totalActions: "&amp;$Z$7&amp;","</f>
        <v>totalActions: 41,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27,</v>
      </c>
      <c r="M77" t="str">
        <f>"totalActions: "&amp;$Z$21&amp;","</f>
        <v>totalActions: 33,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4,</v>
      </c>
      <c r="Q77" t="str">
        <f>"totalActions: "&amp;$Z$10&amp;","</f>
        <v>totalActions: 19,</v>
      </c>
      <c r="R77" t="str">
        <f>"totalActions: "&amp;$Z$2&amp;","</f>
        <v>totalActions: 0,</v>
      </c>
      <c r="S77" t="str">
        <f>"totalActions: "&amp;$Z$19&amp;","</f>
        <v>totalActions: 15,</v>
      </c>
      <c r="T77" t="str">
        <f>"totalActions: "&amp;$Z$17&amp;","</f>
        <v>totalActions: 21,</v>
      </c>
      <c r="U77" t="str">
        <f>"totalActions: "&amp;$Z$18&amp;","</f>
        <v>totalActions: 0,</v>
      </c>
      <c r="V77" t="str">
        <f>"totalActions: "&amp;$Z$16&amp;","</f>
        <v>totalActions: 10,</v>
      </c>
      <c r="W77" t="str">
        <f>"totalActions: "&amp;$Z$6&amp;","</f>
        <v>totalActions: 1,</v>
      </c>
    </row>
    <row r="78" spans="1:23" x14ac:dyDescent="0.3">
      <c r="A78" t="str">
        <f>"actionsPerMinute: "&amp;TEXT($AA$4,"0.00")&amp;","</f>
        <v>actionsPerMinute: 0.22,</v>
      </c>
      <c r="B78" t="str">
        <f>"actionsPerMinute: "&amp;TEXT($AA$15,"0.00")&amp;","</f>
        <v>actionsPerMinute: 0.29,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0.37,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0.24,</v>
      </c>
      <c r="G78" t="str">
        <f>"actionsPerMinute: "&amp;TEXT($AA$3,"0.00")&amp;","</f>
        <v>actionsPerMinute: 0.18,</v>
      </c>
      <c r="H78" t="str">
        <f>"actionsPerMinute: "&amp;TEXT($AA$7,"0.00")&amp;","</f>
        <v>actionsPerMinute: 0.46,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0.30,</v>
      </c>
      <c r="M78" t="str">
        <f>"actionsPerMinute: "&amp;TEXT($AA$21,"0.00")&amp;","</f>
        <v>actionsPerMinute: 0.37,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0.11,</v>
      </c>
      <c r="Q78" t="str">
        <f>"actionsPerMinute: "&amp;TEXT($AA$10,"0.00")&amp;","</f>
        <v>actionsPerMinute: 0.23,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0.25,</v>
      </c>
      <c r="T78" t="str">
        <f>"actionsPerMinute: "&amp;TEXT($AA$17,"0.00")&amp;","</f>
        <v>actionsPerMinute: 0.30,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0.25,</v>
      </c>
      <c r="W78" t="str">
        <f>"actionsPerMinute: "&amp;TEXT($AA$6,"0.00")&amp;","</f>
        <v>actionsPerMinute: 0.14,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6,</v>
      </c>
      <c r="B81" t="str">
        <f>"totalActions: "&amp;$N$15&amp;","</f>
        <v>totalActions: 2,</v>
      </c>
      <c r="C81" t="str">
        <f>"totalActions: "&amp;$N$9&amp;","</f>
        <v>totalActions: 0,</v>
      </c>
      <c r="D81" t="str">
        <f>"totalActions: "&amp;$N$24&amp;","</f>
        <v>totalActions: 19,</v>
      </c>
      <c r="E81" t="str">
        <f>"totalActions: "&amp;$N$12&amp;","</f>
        <v>totalActions: 0,</v>
      </c>
      <c r="F81" t="str">
        <f>"totalActions: "&amp;$N$22&amp;","</f>
        <v>totalActions: 5,</v>
      </c>
      <c r="G81" t="str">
        <f>"totalActions: "&amp;$N$3&amp;","</f>
        <v>totalActions: 0,</v>
      </c>
      <c r="H81" t="str">
        <f>"totalActions: "&amp;$N$7&amp;","</f>
        <v>totalActions: 13,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6,</v>
      </c>
      <c r="M81" t="str">
        <f>"totalActions: "&amp;$N$21&amp;","</f>
        <v>totalActions: 9,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4,</v>
      </c>
      <c r="Q81" t="str">
        <f>"totalActions: "&amp;$N$10&amp;","</f>
        <v>totalActions: 16,</v>
      </c>
      <c r="R81" t="str">
        <f>"totalActions: "&amp;$N$2&amp;","</f>
        <v>totalActions: 0,</v>
      </c>
      <c r="S81" t="str">
        <f>"totalActions: "&amp;$N$19&amp;","</f>
        <v>totalActions: 13,</v>
      </c>
      <c r="T81" t="str">
        <f>"totalActions: "&amp;$N$17&amp;","</f>
        <v>totalActions: 9,</v>
      </c>
      <c r="U81" t="str">
        <f>"totalActions: "&amp;$N$18&amp;","</f>
        <v>totalActions: 0,</v>
      </c>
      <c r="V81" t="str">
        <f>"totalActions: "&amp;$N$16&amp;","</f>
        <v>totalActions: 5,</v>
      </c>
      <c r="W81" t="str">
        <f>"totalActions: "&amp;$N$6&amp;","</f>
        <v>totalActions: 1,</v>
      </c>
    </row>
    <row r="82" spans="1:23" x14ac:dyDescent="0.3">
      <c r="A82" t="str">
        <f>"actionsPerMinute: "&amp;TEXT($O$4,"0.00")&amp;","</f>
        <v>actionsPerMinute: 0.11,</v>
      </c>
      <c r="B82" t="str">
        <f>"actionsPerMinute: "&amp;TEXT($O$15,"0.00")&amp;","</f>
        <v>actionsPerMinute: 0.02,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0.21,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0.06,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0.14,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0.07,</v>
      </c>
      <c r="M82" t="str">
        <f>"actionsPerMinute: "&amp;TEXT($O$21,"0.00")&amp;","</f>
        <v>actionsPerMinute: 0.10,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0.11,</v>
      </c>
      <c r="Q82" t="str">
        <f>"actionsPerMinute: "&amp;TEXT($O$10,"0.00")&amp;","</f>
        <v>actionsPerMinute: 0.19,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0.22,</v>
      </c>
      <c r="T82" t="str">
        <f>"actionsPerMinute: "&amp;TEXT($O$17,"0.00")&amp;","</f>
        <v>actionsPerMinute: 0.13,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0.13,</v>
      </c>
      <c r="W82" t="str">
        <f>"actionsPerMinute: "&amp;TEXT($O$6,"0.00")&amp;","</f>
        <v>actionsPerMinute: 0.14,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1,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2,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1,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1,</v>
      </c>
      <c r="R85" t="str">
        <f>"keyPasses: "&amp;$E$2&amp;","</f>
        <v>keyPasses: 0,</v>
      </c>
      <c r="S85" t="str">
        <f>"keyPasses: "&amp;$E$19&amp;","</f>
        <v>keyPasses: 2,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1,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2,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3,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2,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1,</v>
      </c>
      <c r="G87" t="str">
        <f>"effectiveCrosses: "&amp;$H$3&amp;","</f>
        <v>effectiveCrosses: 0,</v>
      </c>
      <c r="H87" t="str">
        <f>"effectiveCrosses: "&amp;$H$7&amp;","</f>
        <v>effectiveCrosses: 2,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1,</v>
      </c>
      <c r="T87" t="str">
        <f>"effectiveCrosses: "&amp;$H$17&amp;","</f>
        <v>effectiveCrosses: 0,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1,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2,</v>
      </c>
      <c r="C88" t="str">
        <f>"oneVOnes: "&amp;$I$9&amp;","</f>
        <v>oneVOnes: 0,</v>
      </c>
      <c r="D88" t="str">
        <f>"oneVOnes: "&amp;$I$24&amp;","</f>
        <v>oneVOnes: 4,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2,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3,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0,</v>
      </c>
      <c r="Q88" t="str">
        <f>"oneVOnes: "&amp;$I$10&amp;","</f>
        <v>oneVOnes: 1,</v>
      </c>
      <c r="R88" t="str">
        <f>"oneVOnes: "&amp;$I$2&amp;","</f>
        <v>oneVOnes: 0,</v>
      </c>
      <c r="S88" t="str">
        <f>"oneVOnes: "&amp;$I$19&amp;","</f>
        <v>oneVOnes: 2,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0,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3,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2,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1,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2,</v>
      </c>
      <c r="T89" t="str">
        <f>"headers: "&amp;$J$17&amp;","</f>
        <v>headers: 3,</v>
      </c>
      <c r="U89" t="str">
        <f>"headers: "&amp;$J$18&amp;","</f>
        <v>headers: 0,</v>
      </c>
      <c r="V89" t="str">
        <f>"headers: "&amp;$J$16&amp;","</f>
        <v>headers: 1,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2,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1,</v>
      </c>
      <c r="E90" t="str">
        <f>"spEarned: "&amp;$K$12&amp;","</f>
        <v>spEarned: 0,</v>
      </c>
      <c r="F90" t="str">
        <f>"spEarned: "&amp;$K$22&amp;","</f>
        <v>spEarned: 0,</v>
      </c>
      <c r="G90" t="str">
        <f>"spEarned: "&amp;$K$3&amp;","</f>
        <v>spEarned: 0,</v>
      </c>
      <c r="H90" t="str">
        <f>"spEarned: "&amp;$K$7&amp;","</f>
        <v>spEarned: 1,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2,</v>
      </c>
      <c r="M90" t="str">
        <f>"spEarned: "&amp;$K$21&amp;","</f>
        <v>spEarned: 1,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2,</v>
      </c>
      <c r="R90" t="str">
        <f>"spEarned: "&amp;$K$2&amp;","</f>
        <v>spEarned: 0,</v>
      </c>
      <c r="S90" t="str">
        <f>"spEarned: "&amp;$K$19&amp;","</f>
        <v>spEarned: 2,</v>
      </c>
      <c r="T90" t="str">
        <f>"spEarned: "&amp;$K$17&amp;","</f>
        <v>spEarned: 1,</v>
      </c>
      <c r="U90" t="str">
        <f>"spEarned: "&amp;$K$18&amp;","</f>
        <v>spEarned: 0,</v>
      </c>
      <c r="V90" t="str">
        <f>"spEarned: "&amp;$K$16&amp;","</f>
        <v>spEarned: 3,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0,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1,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2,</v>
      </c>
      <c r="R91" t="str">
        <f>"onTargetShots: "&amp;$M$2&amp;","</f>
        <v>onTargetShots: 0,</v>
      </c>
      <c r="S91" t="str">
        <f>"onTargetShots: "&amp;$M$19&amp;","</f>
        <v>onTargetShots: 1,</v>
      </c>
      <c r="T91" t="str">
        <f>"onTargetShots: "&amp;$M$17&amp;","</f>
        <v>onTargetShots: 1,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0,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2,</v>
      </c>
      <c r="E92" t="str">
        <f>"offTargetShots: "&amp;$L$12&amp;","</f>
        <v>offTargetShots: 0,</v>
      </c>
      <c r="F92" t="str">
        <f>"offTargetShots: "&amp;$L$22&amp;","</f>
        <v>offTargetShots: 0,</v>
      </c>
      <c r="G92" t="str">
        <f>"offTargetShots: "&amp;$L$3&amp;","</f>
        <v>offTargetShots: 0,</v>
      </c>
      <c r="H92" t="str">
        <f>"offTargetShots: "&amp;$L$7&amp;","</f>
        <v>offTargetShots: 1,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1,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1,</v>
      </c>
      <c r="Q92" t="str">
        <f>"offTargetShots: "&amp;$L$10&amp;","</f>
        <v>offTargetShots: 4,</v>
      </c>
      <c r="R92" t="str">
        <f>"offTargetShots: "&amp;$L$2&amp;","</f>
        <v>offTargetShots: 0,</v>
      </c>
      <c r="S92" t="str">
        <f>"offTargetShots: "&amp;$L$19&amp;","</f>
        <v>offTargetShots: 2,</v>
      </c>
      <c r="T92" t="str">
        <f>"offTargetShots: "&amp;$L$17&amp;","</f>
        <v>offTargetShots: 1,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6,</v>
      </c>
      <c r="B96" t="str">
        <f>"totalActions: "&amp;$X$15&amp;","</f>
        <v>totalActions: 24,</v>
      </c>
      <c r="C96" t="str">
        <f>"totalActions: "&amp;$X$9&amp;","</f>
        <v>totalActions: 0,</v>
      </c>
      <c r="D96" t="str">
        <f>"totalActions: "&amp;$X$24&amp;","</f>
        <v>totalActions: 14,</v>
      </c>
      <c r="E96" t="str">
        <f>"totalActions: "&amp;$X$12&amp;","</f>
        <v>totalActions: 0,</v>
      </c>
      <c r="F96" t="str">
        <f>"totalActions: "&amp;$X$22&amp;","</f>
        <v>totalActions: 17,</v>
      </c>
      <c r="G96" t="str">
        <f>"totalActions: "&amp;$X$3&amp;","</f>
        <v>totalActions: 2,</v>
      </c>
      <c r="H96" t="str">
        <f>"totalActions: "&amp;$X$7&amp;","</f>
        <v>totalActions: 28,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21,</v>
      </c>
      <c r="M96" t="str">
        <f>"totalActions: "&amp;$X$21&amp;","</f>
        <v>totalActions: 24,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0,</v>
      </c>
      <c r="Q96" t="str">
        <f>"totalActions: "&amp;$X$10&amp;","</f>
        <v>totalActions: 3,</v>
      </c>
      <c r="R96" t="str">
        <f>"totalActions: "&amp;$X$2&amp;","</f>
        <v>totalActions: 0,</v>
      </c>
      <c r="S96" t="str">
        <f>"totalActions: "&amp;$X$19&amp;","</f>
        <v>totalActions: 2,</v>
      </c>
      <c r="T96" t="str">
        <f>"totalActions: "&amp;$X$17&amp;","</f>
        <v>totalActions: 12,</v>
      </c>
      <c r="U96" t="str">
        <f>"totalActions: "&amp;$X$18&amp;","</f>
        <v>totalActions: 0,</v>
      </c>
      <c r="V96" t="str">
        <f>"totalActions: "&amp;$X$16&amp;","</f>
        <v>totalActions: 5,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0.11,</v>
      </c>
      <c r="B97" t="str">
        <f>"actionsPerMinute: "&amp;TEXT($Y$15,"0.00")&amp;","</f>
        <v>actionsPerMinute: 0.27,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0.16,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0.19,</v>
      </c>
      <c r="G97" t="str">
        <f>"actionsPerMinute: "&amp;TEXT($Y$3,"0.00")&amp;","</f>
        <v>actionsPerMinute: 0.18,</v>
      </c>
      <c r="H97" t="str">
        <f>"actionsPerMinute: "&amp;TEXT($Y$7,"0.00")&amp;","</f>
        <v>actionsPerMinute: 0.31,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0.23,</v>
      </c>
      <c r="M97" t="str">
        <f>"actionsPerMinute: "&amp;TEXT($Y$21,"0.00")&amp;","</f>
        <v>actionsPerMinute: 0.27,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0.04,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0.03,</v>
      </c>
      <c r="T97" t="str">
        <f>"actionsPerMinute: "&amp;TEXT($Y$17,"0.00")&amp;","</f>
        <v>actionsPerMinute: 0.17,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0.13,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0,</v>
      </c>
      <c r="B98" t="str">
        <f>"tackles: "&amp;$P$15&amp;","</f>
        <v>tackles: 2,</v>
      </c>
      <c r="C98" t="str">
        <f>"tackles: "&amp;$P$9&amp;","</f>
        <v>tackles: 0,</v>
      </c>
      <c r="D98" t="str">
        <f>"tackles: "&amp;$P$24&amp;","</f>
        <v>tackles: 2,</v>
      </c>
      <c r="E98" t="str">
        <f>"tackles: "&amp;$P$12&amp;","</f>
        <v>tackles: 0,</v>
      </c>
      <c r="F98" t="str">
        <f>"tackles: "&amp;$P$22&amp;","</f>
        <v>tackles: 1,</v>
      </c>
      <c r="G98" t="str">
        <f>"tackles: "&amp;$P$3&amp;","</f>
        <v>tackles: 2,</v>
      </c>
      <c r="H98" t="str">
        <f>"tackles: "&amp;$P$7&amp;","</f>
        <v>tackles: 3,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3,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0,</v>
      </c>
      <c r="R98" t="str">
        <f>"tackles: "&amp;$P$2&amp;","</f>
        <v>tackles: 0,</v>
      </c>
      <c r="S98" t="str">
        <f>"tackles: "&amp;$P$19&amp;","</f>
        <v>tackles: 1,</v>
      </c>
      <c r="T98" t="str">
        <f>"tackles: "&amp;$P$17&amp;","</f>
        <v>tackles: 1,</v>
      </c>
      <c r="U98" t="str">
        <f>"tackles: "&amp;$P$18&amp;","</f>
        <v>tackles: 0,</v>
      </c>
      <c r="V98" t="str">
        <f>"tackles: "&amp;$P$16&amp;","</f>
        <v>tackles: 0,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2,</v>
      </c>
      <c r="B99" t="str">
        <f>"interceptions: "&amp;$Q$15&amp;","</f>
        <v>interceptions: 4,</v>
      </c>
      <c r="C99" t="str">
        <f>"interceptions: "&amp;$Q$9&amp;","</f>
        <v>interceptions: 0,</v>
      </c>
      <c r="D99" t="str">
        <f>"interceptions: "&amp;$Q$24&amp;","</f>
        <v>interceptions: 4,</v>
      </c>
      <c r="E99" t="str">
        <f>"interceptions: "&amp;$Q$12&amp;","</f>
        <v>interceptions: 0,</v>
      </c>
      <c r="F99" t="str">
        <f>"interceptions: "&amp;$Q$22&amp;","</f>
        <v>interceptions: 4,</v>
      </c>
      <c r="G99" t="str">
        <f>"interceptions: "&amp;$Q$3&amp;","</f>
        <v>interceptions: 0,</v>
      </c>
      <c r="H99" t="str">
        <f>"interceptions: "&amp;$Q$7&amp;","</f>
        <v>interceptions: 9,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6,</v>
      </c>
      <c r="M99" t="str">
        <f>"interceptions: "&amp;$Q$21&amp;","</f>
        <v>interceptions: 6,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0,</v>
      </c>
      <c r="Q99" t="str">
        <f>"interceptions: "&amp;$Q$10&amp;","</f>
        <v>interceptions: 2,</v>
      </c>
      <c r="R99" t="str">
        <f>"interceptions: "&amp;$Q$2&amp;","</f>
        <v>interceptions: 0,</v>
      </c>
      <c r="S99" t="str">
        <f>"interceptions: "&amp;$Q$19&amp;","</f>
        <v>interceptions: 0,</v>
      </c>
      <c r="T99" t="str">
        <f>"interceptions: "&amp;$Q$17&amp;","</f>
        <v>interceptions: 3,</v>
      </c>
      <c r="U99" t="str">
        <f>"interceptions: "&amp;$Q$18&amp;","</f>
        <v>interceptions: 0,</v>
      </c>
      <c r="V99" t="str">
        <f>"interceptions: "&amp;$Q$16&amp;","</f>
        <v>interceptions: 2,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1,</v>
      </c>
      <c r="B100" t="str">
        <f>"fhRegains: "&amp;$R$15&amp;","</f>
        <v>fhRegains: 0,</v>
      </c>
      <c r="C100" t="str">
        <f>"fhRegains: "&amp;$R$9&amp;","</f>
        <v>fhRegains: 0,</v>
      </c>
      <c r="D100" t="str">
        <f>"fhRegains: "&amp;$R$24&amp;","</f>
        <v>fhRegains: 2,</v>
      </c>
      <c r="E100" t="str">
        <f>"fhRegains: "&amp;$R$12&amp;","</f>
        <v>fhRegains: 0,</v>
      </c>
      <c r="F100" t="str">
        <f>"fhRegains: "&amp;$R$22&amp;","</f>
        <v>fhRegains: 1,</v>
      </c>
      <c r="G100" t="str">
        <f>"fhRegains: "&amp;$R$3&amp;","</f>
        <v>fhRegains: 0,</v>
      </c>
      <c r="H100" t="str">
        <f>"fhRegains: "&amp;$R$7&amp;","</f>
        <v>fhRegains: 4,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4,</v>
      </c>
      <c r="M100" t="str">
        <f>"fhRegains: "&amp;$R$21&amp;","</f>
        <v>fhRegains: 0,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0,</v>
      </c>
      <c r="R100" t="str">
        <f>"fhRegains: "&amp;$R$2&amp;","</f>
        <v>fhRegains: 0,</v>
      </c>
      <c r="S100" t="str">
        <f>"fhRegains: "&amp;$R$19&amp;","</f>
        <v>fhRegains: 1,</v>
      </c>
      <c r="T100" t="str">
        <f>"fhRegains: "&amp;$R$17&amp;","</f>
        <v>fhRegains: 2,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2,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3,</v>
      </c>
      <c r="G101" t="str">
        <f>"blocks: "&amp;$S$3&amp;","</f>
        <v>blocks: 0,</v>
      </c>
      <c r="H101" t="str">
        <f>"blocks: "&amp;$S$7&amp;","</f>
        <v>blocks: 2,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1,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1,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4,</v>
      </c>
      <c r="C102" t="str">
        <f>"clearances: "&amp;$T$9&amp;","</f>
        <v>clearances: 0,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3,</v>
      </c>
      <c r="G102" t="str">
        <f>"clearances: "&amp;$T$3&amp;","</f>
        <v>clearances: 0,</v>
      </c>
      <c r="H102" t="str">
        <f>"clearances: "&amp;$T$7&amp;","</f>
        <v>clearances: 1,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4,</v>
      </c>
      <c r="M102" t="str">
        <f>"clearances: "&amp;$T$21&amp;","</f>
        <v>clearances: 2,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1,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0,</v>
      </c>
      <c r="C103" t="str">
        <f>"separations: "&amp;$U$9&amp;","</f>
        <v>separations: 0,</v>
      </c>
      <c r="D103" t="str">
        <f>"separations: "&amp;$U$24&amp;","</f>
        <v>separations: 0,</v>
      </c>
      <c r="E103" t="str">
        <f>"separations: "&amp;$U$12&amp;","</f>
        <v>separations: 0,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2,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1,</v>
      </c>
      <c r="M103" t="str">
        <f>"separations: "&amp;$U$21&amp;","</f>
        <v>separations: 2,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1,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2,</v>
      </c>
      <c r="B104" t="str">
        <f>"headers: "&amp;$V$15&amp;","</f>
        <v>headers: 9,</v>
      </c>
      <c r="C104" t="str">
        <f>"headers: "&amp;$V$9&amp;","</f>
        <v>headers: 0,</v>
      </c>
      <c r="D104" t="str">
        <f>"headers: "&amp;$V$24&amp;","</f>
        <v>headers: 1,</v>
      </c>
      <c r="E104" t="str">
        <f>"headers: "&amp;$V$12&amp;","</f>
        <v>headers: 0,</v>
      </c>
      <c r="F104" t="str">
        <f>"headers: "&amp;$V$22&amp;","</f>
        <v>headers: 3,</v>
      </c>
      <c r="G104" t="str">
        <f>"headers: "&amp;$V$3&amp;","</f>
        <v>headers: 0,</v>
      </c>
      <c r="H104" t="str">
        <f>"headers: "&amp;$V$7&amp;","</f>
        <v>headers: 5,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0,</v>
      </c>
      <c r="M104" t="str">
        <f>"headers: "&amp;$V$21&amp;","</f>
        <v>headers: 6,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2,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1,</v>
      </c>
      <c r="B105" t="str">
        <f>"stopForwardCA: "&amp;$W$15&amp;","</f>
        <v>stopForwardCA: 3,</v>
      </c>
      <c r="C105" t="str">
        <f>"stopForwardCA: "&amp;$W$9&amp;","</f>
        <v>stopForwardCA: 0,</v>
      </c>
      <c r="D105" t="str">
        <f>"stopForwardCA: "&amp;$W$24&amp;","</f>
        <v>stopForwardCA: 5,</v>
      </c>
      <c r="E105" t="str">
        <f>"stopForwardCA: "&amp;$W$12&amp;","</f>
        <v>stopForwardCA: 0,</v>
      </c>
      <c r="F105" t="str">
        <f>"stopForwardCA: "&amp;$W$22&amp;","</f>
        <v>stopForwardCA: 2,</v>
      </c>
      <c r="G105" t="str">
        <f>"stopForwardCA: "&amp;$W$3&amp;","</f>
        <v>stopForwardCA: 0,</v>
      </c>
      <c r="H105" t="str">
        <f>"stopForwardCA: "&amp;$W$7&amp;","</f>
        <v>stopForwardCA: 2,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5,</v>
      </c>
      <c r="M105" t="str">
        <f>"stopForwardCA: "&amp;$W$21&amp;","</f>
        <v>stopForwardCA: 5,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0,</v>
      </c>
      <c r="Q105" t="str">
        <f>"stopForwardCA: "&amp;$W$10&amp;","</f>
        <v>stopForwardCA: 1,</v>
      </c>
      <c r="R105" t="str">
        <f>"stopForwardCA: "&amp;$W$2&amp;","</f>
        <v>stopForwardCA: 0,</v>
      </c>
      <c r="S105" t="str">
        <f>"stopForwardCA: "&amp;$W$19&amp;","</f>
        <v>stopForwardCA: 0,</v>
      </c>
      <c r="T105" t="str">
        <f>"stopForwardCA: "&amp;$W$17&amp;","</f>
        <v>stopForwardCA: 3,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54,</v>
      </c>
      <c r="B109" t="str">
        <f>"minutes: "&amp;B$15&amp;","</f>
        <v>minutes: 90,</v>
      </c>
      <c r="C109" t="str">
        <f>"minutes: "&amp;B$9&amp;","</f>
        <v>minutes: 0,</v>
      </c>
      <c r="D109" t="str">
        <f>"minutes: "&amp;B$24&amp;","</f>
        <v>minutes: 90,</v>
      </c>
      <c r="E109" t="str">
        <f>"minutes: "&amp;B$12&amp;","</f>
        <v>minutes: 0,</v>
      </c>
      <c r="F109" t="str">
        <f>"minutes: "&amp;B$22&amp;","</f>
        <v>minutes: 90,</v>
      </c>
      <c r="G109" t="str">
        <f>"minutes: "&amp;B$3&amp;","</f>
        <v>minutes: 11,</v>
      </c>
      <c r="H109" t="str">
        <f>"minutes: "&amp;B$7&amp;","</f>
        <v>minutes: 90,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90,</v>
      </c>
      <c r="M109" t="str">
        <f>"minutes: "&amp;B$21&amp;","</f>
        <v>minutes: 90,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36,</v>
      </c>
      <c r="Q109" t="str">
        <f>"minutes: "&amp;B$10&amp;","</f>
        <v>minutes: 83,</v>
      </c>
      <c r="R109" t="str">
        <f>"minutes: "&amp;B$2&amp;","</f>
        <v>minutes: 0,</v>
      </c>
      <c r="S109" t="str">
        <f>"minutes: "&amp;B$19&amp;","</f>
        <v>minutes: 60,</v>
      </c>
      <c r="T109" t="str">
        <f>"minutes: "&amp;B$17&amp;","</f>
        <v>minutes: 69,</v>
      </c>
      <c r="U109" t="str">
        <f>"minutes: "&amp;B$18&amp;","</f>
        <v>minutes: 0,</v>
      </c>
      <c r="V109" t="str">
        <f>"minutes: "&amp;B$16&amp;","</f>
        <v>minutes: 40,</v>
      </c>
      <c r="W109" t="str">
        <f>"minutes: "&amp;B$6&amp;","</f>
        <v>minutes: 7,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1,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2,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1,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1,</v>
      </c>
      <c r="R112" t="str">
        <f>"keyPasses: "&amp;$E$2&amp;","</f>
        <v>keyPasses: 0,</v>
      </c>
      <c r="S112" t="str">
        <f>"keyPasses: "&amp;$E$19&amp;","</f>
        <v>keyPasses: 2,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0,</v>
      </c>
      <c r="B113" t="str">
        <f>"startCA: "&amp;$F$15&amp;","</f>
        <v>startCA: 0,</v>
      </c>
      <c r="C113" t="str">
        <f>"startCA: "&amp;$F$9&amp;","</f>
        <v>startCA: 0,</v>
      </c>
      <c r="D113" t="str">
        <f>"startCA: "&amp;$F$24&amp;","</f>
        <v>startCA: 9,</v>
      </c>
      <c r="E113" t="str">
        <f>"startCA: "&amp;$F$12&amp;","</f>
        <v>startCA: 0,</v>
      </c>
      <c r="F113" t="str">
        <f>"startCA: "&amp;$F$22&amp;","</f>
        <v>startCA: 2,</v>
      </c>
      <c r="G113" t="str">
        <f>"startCA: "&amp;$F$3&amp;","</f>
        <v>startCA: 0,</v>
      </c>
      <c r="H113" t="str">
        <f>"startCA: "&amp;$F$7&amp;","</f>
        <v>startCA: 7,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2,</v>
      </c>
      <c r="M113" t="str">
        <f>"startCA: "&amp;$F$21&amp;","</f>
        <v>startCA: 4,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2,</v>
      </c>
      <c r="Q113" t="str">
        <f>"startCA: "&amp;$F$10&amp;","</f>
        <v>startCA: 5,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1,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1,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2,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3,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2,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1,</v>
      </c>
      <c r="G115" t="str">
        <f>"effCrosses: "&amp;$H$3&amp;","</f>
        <v>effCrosses: 0,</v>
      </c>
      <c r="H115" t="str">
        <f>"effCrosses: "&amp;$H$7&amp;","</f>
        <v>effCrosses: 2,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1,</v>
      </c>
      <c r="T115" t="str">
        <f>"effCrosses: "&amp;$H$17&amp;","</f>
        <v>effCrosses: 0,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1,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2,</v>
      </c>
      <c r="C116" t="str">
        <f>"oneVones: "&amp;$I$9&amp;","</f>
        <v>oneVones: 0,</v>
      </c>
      <c r="D116" t="str">
        <f>"oneVones: "&amp;$I$24&amp;","</f>
        <v>oneVones: 4,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2,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3,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0,</v>
      </c>
      <c r="Q116" t="str">
        <f>"oneVones: "&amp;$I$10&amp;","</f>
        <v>oneVones: 1,</v>
      </c>
      <c r="R116" t="str">
        <f>"oneVones: "&amp;$I$2&amp;","</f>
        <v>oneVones: 0,</v>
      </c>
      <c r="S116" t="str">
        <f>"oneVones: "&amp;$I$19&amp;","</f>
        <v>oneVones: 2,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0,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3,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2,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1,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2,</v>
      </c>
      <c r="T117" t="str">
        <f>"attHeaders: "&amp;$J$17&amp;","</f>
        <v>attHeaders: 3,</v>
      </c>
      <c r="U117" t="str">
        <f>"attHeaders: "&amp;$J$18&amp;","</f>
        <v>attHeaders: 0,</v>
      </c>
      <c r="V117" t="str">
        <f>"attHeaders: "&amp;$J$16&amp;","</f>
        <v>attHeaders: 1,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2,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1,</v>
      </c>
      <c r="E118" t="str">
        <f>"spEarned: "&amp;$K$12&amp;","</f>
        <v>spEarned: 0,</v>
      </c>
      <c r="F118" t="str">
        <f>"spEarned: "&amp;$K$22&amp;","</f>
        <v>spEarned: 0,</v>
      </c>
      <c r="G118" t="str">
        <f>"spEarned: "&amp;$K$3&amp;","</f>
        <v>spEarned: 0,</v>
      </c>
      <c r="H118" t="str">
        <f>"spEarned: "&amp;$K$7&amp;","</f>
        <v>spEarned: 1,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2,</v>
      </c>
      <c r="M118" t="str">
        <f>"spEarned: "&amp;$K$21&amp;","</f>
        <v>spEarned: 1,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2,</v>
      </c>
      <c r="R118" t="str">
        <f>"spEarned: "&amp;$K$2&amp;","</f>
        <v>spEarned: 0,</v>
      </c>
      <c r="S118" t="str">
        <f>"spEarned: "&amp;$K$19&amp;","</f>
        <v>spEarned: 2,</v>
      </c>
      <c r="T118" t="str">
        <f>"spEarned: "&amp;$K$17&amp;","</f>
        <v>spEarned: 1,</v>
      </c>
      <c r="U118" t="str">
        <f>"spEarned: "&amp;$K$18&amp;","</f>
        <v>spEarned: 0,</v>
      </c>
      <c r="V118" t="str">
        <f>"spEarned: "&amp;$K$16&amp;","</f>
        <v>spEarned: 3,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0,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2,</v>
      </c>
      <c r="E119" t="str">
        <f>"offTargetShots: "&amp;$L$12&amp;","</f>
        <v>offTargetShots: 0,</v>
      </c>
      <c r="F119" t="str">
        <f>"offTargetShots: "&amp;$L$22&amp;","</f>
        <v>offTargetShots: 0,</v>
      </c>
      <c r="G119" t="str">
        <f>"offTargetShots: "&amp;$L$3&amp;","</f>
        <v>offTargetShots: 0,</v>
      </c>
      <c r="H119" t="str">
        <f>"offTargetShots: "&amp;$L$7&amp;","</f>
        <v>offTargetShots: 1,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1,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1,</v>
      </c>
      <c r="Q119" t="str">
        <f>"offTargetShots: "&amp;$L$10&amp;","</f>
        <v>offTargetShots: 4,</v>
      </c>
      <c r="R119" t="str">
        <f>"offTargetShots: "&amp;$L$2&amp;","</f>
        <v>offTargetShots: 0,</v>
      </c>
      <c r="S119" t="str">
        <f>"offTargetShots: "&amp;$L$19&amp;","</f>
        <v>offTargetShots: 2,</v>
      </c>
      <c r="T119" t="str">
        <f>"offTargetShots: "&amp;$L$17&amp;","</f>
        <v>offTargetShots: 1,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0,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1,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2,</v>
      </c>
      <c r="R120" t="str">
        <f>"onTargetShots: "&amp;$M$2&amp;","</f>
        <v>onTargetShots: 0,</v>
      </c>
      <c r="S120" t="str">
        <f>"onTargetShots: "&amp;$M$19&amp;","</f>
        <v>onTargetShots: 1,</v>
      </c>
      <c r="T120" t="str">
        <f>"onTargetShots: "&amp;$M$17&amp;","</f>
        <v>onTargetShots: 1,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0.11,</v>
      </c>
      <c r="B121" t="str">
        <f>"totalOffActMin: "&amp;TEXT($O$15,"0.00")&amp;","</f>
        <v>totalOffActMin: 0.02,</v>
      </c>
      <c r="C121" t="str">
        <f>"totalOffActMin: "&amp;TEXT($O$9,"0.00")&amp;","</f>
        <v>totalOffActMin: 0.00,</v>
      </c>
      <c r="D121" t="str">
        <f>"totalOffActMin: "&amp;TEXT($O$24,"0.00")&amp;","</f>
        <v>totalOffActMin: 0.21,</v>
      </c>
      <c r="E121" t="str">
        <f>"totalOffActMin: "&amp;TEXT($O$12,"0.00")&amp;","</f>
        <v>totalOffActMin: 0.00,</v>
      </c>
      <c r="F121" t="str">
        <f>"totalOffActMin: "&amp;TEXT($O$22,"0.00")&amp;","</f>
        <v>totalOffActMin: 0.06,</v>
      </c>
      <c r="G121" t="str">
        <f>"totalOffActMin: "&amp;TEXT($O$3,"0.00")&amp;","</f>
        <v>totalOffActMin: 0.00,</v>
      </c>
      <c r="H121" t="str">
        <f>"totalOffActMin: "&amp;TEXT($O$7,"0.00")&amp;","</f>
        <v>totalOffActMin: 0.14,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0.07,</v>
      </c>
      <c r="M121" t="str">
        <f>"totalOffActMin: "&amp;TEXT($O$21,"0.00")&amp;","</f>
        <v>totalOffActMin: 0.10,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0.11,</v>
      </c>
      <c r="Q121" t="str">
        <f>"totalOffActMin: "&amp;TEXT($O$10,"0.00")&amp;","</f>
        <v>totalOffActMin: 0.19,</v>
      </c>
      <c r="R121" t="str">
        <f>"totalOffActMin: "&amp;TEXT($O$2,"0.00")&amp;","</f>
        <v>totalOffActMin: 0.00,</v>
      </c>
      <c r="S121" t="str">
        <f>"totalOffActMin: "&amp;TEXT($O$19,"0.00")&amp;","</f>
        <v>totalOffActMin: 0.22,</v>
      </c>
      <c r="T121" t="str">
        <f>"totalOffActMin: "&amp;TEXT($O$17,"0.00")&amp;","</f>
        <v>totalOffActMin: 0.13,</v>
      </c>
      <c r="U121" t="str">
        <f>"totalOffActMin: "&amp;TEXT($O$18,"0.00")&amp;","</f>
        <v>totalOffActMin: 0.00,</v>
      </c>
      <c r="V121" t="str">
        <f>"totalOffActMin: "&amp;TEXT($O$16,"0.00")&amp;","</f>
        <v>totalOffActMin: 0.13,</v>
      </c>
      <c r="W121" t="str">
        <f>"totalOffActMin: "&amp;TEXT($O$6,"0.00")&amp;","</f>
        <v>totalOffActMin: 0.14,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2,</v>
      </c>
      <c r="C122" t="str">
        <f>"tackles: "&amp;$P$9&amp;","</f>
        <v>tackles: 0,</v>
      </c>
      <c r="D122" t="str">
        <f>"tackles: "&amp;$P$24&amp;","</f>
        <v>tackles: 2,</v>
      </c>
      <c r="E122" t="str">
        <f>"tackles: "&amp;$P$12&amp;","</f>
        <v>tackles: 0,</v>
      </c>
      <c r="F122" t="str">
        <f>"tackles: "&amp;$P$22&amp;","</f>
        <v>tackles: 1,</v>
      </c>
      <c r="G122" t="str">
        <f>"tackles: "&amp;$P$3&amp;","</f>
        <v>tackles: 2,</v>
      </c>
      <c r="H122" t="str">
        <f>"tackles: "&amp;$P$7&amp;","</f>
        <v>tackles: 3,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3,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0,</v>
      </c>
      <c r="R122" t="str">
        <f>"tackles: "&amp;$P$2&amp;","</f>
        <v>tackles: 0,</v>
      </c>
      <c r="S122" t="str">
        <f>"tackles: "&amp;$P$19&amp;","</f>
        <v>tackles: 1,</v>
      </c>
      <c r="T122" t="str">
        <f>"tackles: "&amp;$P$17&amp;","</f>
        <v>tackles: 1,</v>
      </c>
      <c r="U122" t="str">
        <f>"tackles: "&amp;$P$18&amp;","</f>
        <v>tackles: 0,</v>
      </c>
      <c r="V122" t="str">
        <f>"tackles: "&amp;$P$16&amp;","</f>
        <v>tackles: 0,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2,</v>
      </c>
      <c r="B123" t="str">
        <f>"interceptions: "&amp;$Q$15&amp;","</f>
        <v>interceptions: 4,</v>
      </c>
      <c r="C123" t="str">
        <f>"interceptions: "&amp;$Q$9&amp;","</f>
        <v>interceptions: 0,</v>
      </c>
      <c r="D123" t="str">
        <f>"interceptions: "&amp;$Q$24&amp;","</f>
        <v>interceptions: 4,</v>
      </c>
      <c r="E123" t="str">
        <f>"interceptions: "&amp;$Q$12&amp;","</f>
        <v>interceptions: 0,</v>
      </c>
      <c r="F123" t="str">
        <f>"interceptions: "&amp;$Q$22&amp;","</f>
        <v>interceptions: 4,</v>
      </c>
      <c r="G123" t="str">
        <f>"interceptions: "&amp;$Q$3&amp;","</f>
        <v>interceptions: 0,</v>
      </c>
      <c r="H123" t="str">
        <f>"interceptions: "&amp;$Q$7&amp;","</f>
        <v>interceptions: 9,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6,</v>
      </c>
      <c r="M123" t="str">
        <f>"interceptions: "&amp;$Q$21&amp;","</f>
        <v>interceptions: 6,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0,</v>
      </c>
      <c r="Q123" t="str">
        <f>"interceptions: "&amp;$Q$10&amp;","</f>
        <v>interceptions: 2,</v>
      </c>
      <c r="R123" t="str">
        <f>"interceptions: "&amp;$Q$2&amp;","</f>
        <v>interceptions: 0,</v>
      </c>
      <c r="S123" t="str">
        <f>"interceptions: "&amp;$Q$19&amp;","</f>
        <v>interceptions: 0,</v>
      </c>
      <c r="T123" t="str">
        <f>"interceptions: "&amp;$Q$17&amp;","</f>
        <v>interceptions: 3,</v>
      </c>
      <c r="U123" t="str">
        <f>"interceptions: "&amp;$Q$18&amp;","</f>
        <v>interceptions: 0,</v>
      </c>
      <c r="V123" t="str">
        <f>"interceptions: "&amp;$Q$16&amp;","</f>
        <v>interceptions: 2,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1,</v>
      </c>
      <c r="B124" t="str">
        <f>"fhRegains: "&amp;$R$15&amp;","</f>
        <v>fhRegains: 0,</v>
      </c>
      <c r="C124" t="str">
        <f>"fhRegains: "&amp;$R$9&amp;","</f>
        <v>fhRegains: 0,</v>
      </c>
      <c r="D124" t="str">
        <f>"fhRegains: "&amp;$R$24&amp;","</f>
        <v>fhRegains: 2,</v>
      </c>
      <c r="E124" t="str">
        <f>"fhRegains: "&amp;$R$12&amp;","</f>
        <v>fhRegains: 0,</v>
      </c>
      <c r="F124" t="str">
        <f>"fhRegains: "&amp;$R$22&amp;","</f>
        <v>fhRegains: 1,</v>
      </c>
      <c r="G124" t="str">
        <f>"fhRegains: "&amp;$R$3&amp;","</f>
        <v>fhRegains: 0,</v>
      </c>
      <c r="H124" t="str">
        <f>"fhRegains: "&amp;$R$7&amp;","</f>
        <v>fhRegains: 4,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4,</v>
      </c>
      <c r="M124" t="str">
        <f>"fhRegains: "&amp;$R$21&amp;","</f>
        <v>fhRegains: 0,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0,</v>
      </c>
      <c r="R124" t="str">
        <f>"fhRegains: "&amp;$R$2&amp;","</f>
        <v>fhRegains: 0,</v>
      </c>
      <c r="S124" t="str">
        <f>"fhRegains: "&amp;$R$19&amp;","</f>
        <v>fhRegains: 1,</v>
      </c>
      <c r="T124" t="str">
        <f>"fhRegains: "&amp;$R$17&amp;","</f>
        <v>fhRegains: 2,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2,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3,</v>
      </c>
      <c r="G125" t="str">
        <f>"blocks: "&amp;$S$3&amp;","</f>
        <v>blocks: 0,</v>
      </c>
      <c r="H125" t="str">
        <f>"blocks: "&amp;$S$7&amp;","</f>
        <v>blocks: 2,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1,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1,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4,</v>
      </c>
      <c r="C126" t="str">
        <f>"clearances: "&amp;$T$9&amp;","</f>
        <v>clearances: 0,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3,</v>
      </c>
      <c r="G126" t="str">
        <f>"clearances: "&amp;$T$3&amp;","</f>
        <v>clearances: 0,</v>
      </c>
      <c r="H126" t="str">
        <f>"clearances: "&amp;$T$7&amp;","</f>
        <v>clearances: 1,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4,</v>
      </c>
      <c r="M126" t="str">
        <f>"clearances: "&amp;$T$21&amp;","</f>
        <v>clearances: 2,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1,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0,</v>
      </c>
      <c r="C127" t="str">
        <f>"separations: "&amp;$U$9&amp;","</f>
        <v>separations: 0,</v>
      </c>
      <c r="D127" t="str">
        <f>"separations: "&amp;$U$24&amp;","</f>
        <v>separations: 0,</v>
      </c>
      <c r="E127" t="str">
        <f>"separations: "&amp;$U$12&amp;","</f>
        <v>separations: 0,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2,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1,</v>
      </c>
      <c r="M127" t="str">
        <f>"separations: "&amp;$U$21&amp;","</f>
        <v>separations: 2,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1,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2,</v>
      </c>
      <c r="B128" t="str">
        <f>"headers: "&amp;$V$15&amp;","</f>
        <v>headers: 9,</v>
      </c>
      <c r="C128" t="str">
        <f>"headers: "&amp;$V$9&amp;","</f>
        <v>headers: 0,</v>
      </c>
      <c r="D128" t="str">
        <f>"headers: "&amp;$V$24&amp;","</f>
        <v>headers: 1,</v>
      </c>
      <c r="E128" t="str">
        <f>"headers: "&amp;$V$12&amp;","</f>
        <v>headers: 0,</v>
      </c>
      <c r="F128" t="str">
        <f>"headers: "&amp;$V$22&amp;","</f>
        <v>headers: 3,</v>
      </c>
      <c r="G128" t="str">
        <f>"headers: "&amp;$V$3&amp;","</f>
        <v>headers: 0,</v>
      </c>
      <c r="H128" t="str">
        <f>"headers: "&amp;$V$7&amp;","</f>
        <v>headers: 5,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0,</v>
      </c>
      <c r="M128" t="str">
        <f>"headers: "&amp;$V$21&amp;","</f>
        <v>headers: 6,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2,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1,</v>
      </c>
      <c r="B129" t="str">
        <f>"stopFwdCA: "&amp;$W$15&amp;","</f>
        <v>stopFwdCA: 3,</v>
      </c>
      <c r="C129" t="str">
        <f>"stopFwdCA: "&amp;$W$9&amp;","</f>
        <v>stopFwdCA: 0,</v>
      </c>
      <c r="D129" t="str">
        <f>"stopFwdCA: "&amp;$W$24&amp;","</f>
        <v>stopFwdCA: 5,</v>
      </c>
      <c r="E129" t="str">
        <f>"stopFwdCA: "&amp;$W$12&amp;","</f>
        <v>stopFwdCA: 0,</v>
      </c>
      <c r="F129" t="str">
        <f>"stopFwdCA: "&amp;$W$22&amp;","</f>
        <v>stopFwdCA: 2,</v>
      </c>
      <c r="G129" t="str">
        <f>"stopFwdCA: "&amp;$W$3&amp;","</f>
        <v>stopFwdCA: 0,</v>
      </c>
      <c r="H129" t="str">
        <f>"stopFwdCA: "&amp;$W$7&amp;","</f>
        <v>stopFwdCA: 2,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5,</v>
      </c>
      <c r="M129" t="str">
        <f>"stopFwdCA: "&amp;$W$21&amp;","</f>
        <v>stopFwdCA: 5,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0,</v>
      </c>
      <c r="Q129" t="str">
        <f>"stopFwdCA: "&amp;$W$10&amp;","</f>
        <v>stopFwdCA: 1,</v>
      </c>
      <c r="R129" t="str">
        <f>"stopFwdCA: "&amp;$W$2&amp;","</f>
        <v>stopFwdCA: 0,</v>
      </c>
      <c r="S129" t="str">
        <f>"stopFwdCA: "&amp;$W$19&amp;","</f>
        <v>stopFwdCA: 0,</v>
      </c>
      <c r="T129" t="str">
        <f>"stopFwdCA: "&amp;$W$17&amp;","</f>
        <v>stopFwdCA: 3,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0.11,</v>
      </c>
      <c r="B130" t="str">
        <f>"totalDefActMin: "&amp;TEXT($Y$15,"0.00")&amp;","</f>
        <v>totalDefActMin: 0.27,</v>
      </c>
      <c r="C130" t="str">
        <f>"totalDefActMin: "&amp;TEXT($Y$9,"0.00")&amp;","</f>
        <v>totalDefActMin: 0.00,</v>
      </c>
      <c r="D130" t="str">
        <f>"totalDefActMin: "&amp;TEXT($Y$24,"0.00")&amp;","</f>
        <v>totalDefActMin: 0.16,</v>
      </c>
      <c r="E130" t="str">
        <f>"totalDefActMin: "&amp;TEXT($Y$12,"0.00")&amp;","</f>
        <v>totalDefActMin: 0.00,</v>
      </c>
      <c r="F130" t="str">
        <f>"totalDefActMin: "&amp;TEXT($Y$22,"0.00")&amp;","</f>
        <v>totalDefActMin: 0.19,</v>
      </c>
      <c r="G130" t="str">
        <f>"totalDefActMin: "&amp;TEXT($Y$3,"0.00")&amp;","</f>
        <v>totalDefActMin: 0.18,</v>
      </c>
      <c r="H130" t="str">
        <f>"totalDefActMin: "&amp;TEXT($Y$7,"0.00")&amp;","</f>
        <v>totalDefActMin: 0.31,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0.23,</v>
      </c>
      <c r="M130" t="str">
        <f>"totalDefActMin: "&amp;TEXT($Y$21,"0.00")&amp;","</f>
        <v>totalDefActMin: 0.27,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0.04,</v>
      </c>
      <c r="R130" t="str">
        <f>"totalDefActMin: "&amp;TEXT($Y$2,"0.00")&amp;","</f>
        <v>totalDefActMin: 0.00,</v>
      </c>
      <c r="S130" t="str">
        <f>"totalDefActMin: "&amp;TEXT($Y$19,"0.00")&amp;","</f>
        <v>totalDefActMin: 0.03,</v>
      </c>
      <c r="T130" t="str">
        <f>"totalDefActMin: "&amp;TEXT($Y$17,"0.00")&amp;","</f>
        <v>totalDefActMin: 0.17,</v>
      </c>
      <c r="U130" t="str">
        <f>"totalDefActMin: "&amp;TEXT($Y$18,"0.00")&amp;","</f>
        <v>totalDefActMin: 0.00,</v>
      </c>
      <c r="V130" t="str">
        <f>"totalDefActMin: "&amp;TEXT($Y$16,"0.00")&amp;","</f>
        <v>totalDefActMin: 0.13,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12,</v>
      </c>
      <c r="B131" t="str">
        <f t="shared" ref="B131" si="4">"totalActions: "&amp;$Z$4&amp;","</f>
        <v>totalActions: 12,</v>
      </c>
      <c r="C131" t="str">
        <f>"totalActions: "&amp;$Z$9&amp;","</f>
        <v>totalActions: 0,</v>
      </c>
      <c r="D131" t="str">
        <f>"totalActions: "&amp;$Z$24&amp;","</f>
        <v>totalActions: 33,</v>
      </c>
      <c r="E131" t="str">
        <f>"totalActions: "&amp;$Z$12&amp;","</f>
        <v>totalActions: 0,</v>
      </c>
      <c r="F131" t="str">
        <f>"totalActions: "&amp;$Z$22&amp;","</f>
        <v>totalActions: 22,</v>
      </c>
      <c r="G131" t="str">
        <f>"totalActions: "&amp;$Z$3&amp;","</f>
        <v>totalActions: 2,</v>
      </c>
      <c r="H131" t="str">
        <f>"totalActions: "&amp;$Z$7&amp;","</f>
        <v>totalActions: 41,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27,</v>
      </c>
      <c r="M131" t="str">
        <f>"totalActions: "&amp;$Z$21&amp;","</f>
        <v>totalActions: 33,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4,</v>
      </c>
      <c r="Q131" t="str">
        <f>"totalActions: "&amp;$Z$10&amp;","</f>
        <v>totalActions: 19,</v>
      </c>
      <c r="R131" t="str">
        <f>"totalActions: "&amp;$Z$2&amp;","</f>
        <v>totalActions: 0,</v>
      </c>
      <c r="S131" t="str">
        <f>"totalActions: "&amp;$Z$19&amp;","</f>
        <v>totalActions: 15,</v>
      </c>
      <c r="T131" t="str">
        <f>"totalActions: "&amp;$Z$17&amp;","</f>
        <v>totalActions: 21,</v>
      </c>
      <c r="U131" t="str">
        <f>"totalActions: "&amp;$Z$18&amp;","</f>
        <v>totalActions: 0,</v>
      </c>
      <c r="V131" t="str">
        <f>"totalActions: "&amp;$Z$16&amp;","</f>
        <v>totalActions: 10,</v>
      </c>
      <c r="W131" t="str">
        <f>"totalActions: "&amp;$Z$6&amp;","</f>
        <v>totalActions: 1,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class="stat-value-2"&gt;6&lt;/span&gt;&lt;/p&gt;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class="stat-value-2"&gt;2&lt;/span&gt;&lt;/p&gt;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class="stat-value-2"&gt;0&lt;/span&gt;&lt;/p&gt;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class="stat-value-2"&gt;19&lt;/span&gt;&lt;/p&gt;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class="stat-value-2"&gt;0&lt;/span&gt;&lt;/p&gt;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class="stat-value-2"&gt;5&lt;/span&gt;&lt;/p&gt;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class="stat-value-2"&gt;13&lt;/span&gt;&lt;/p&gt;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class="stat-value-2"&gt;6&lt;/span&gt;&lt;/p&gt;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class="stat-value-2"&gt;9&lt;/span&gt;&lt;/p&gt;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class="stat-value-2"&gt;4&lt;/span&gt;&lt;/p&gt;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class="stat-value-2"&gt;16&lt;/span&gt;&lt;/p&gt;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class="stat-value-2"&gt;13&lt;/span&gt;&lt;/p&gt;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class="stat-value-2"&gt;9&lt;/span&gt;&lt;/p&gt;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class="stat-value-2"&gt;5&lt;/span&gt;&lt;/p&gt;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class="stat-value-2"&gt;1&lt;/span&gt;&lt;/p&gt;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class="stat-value-2"&gt;0.11&lt;/span&gt;&lt;/p&gt;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class="stat-value-2"&gt;0.02&lt;/span&gt;&lt;/p&gt;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class="stat-value-2"&gt;0.21&lt;/span&gt;&lt;/p&gt;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class="stat-value-2"&gt;0.06&lt;/span&gt;&lt;/p&gt;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class="stat-value-2"&gt;0.14&lt;/span&gt;&lt;/p&gt;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class="stat-value-2"&gt;0.07&lt;/span&gt;&lt;/p&gt;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class="stat-value-2"&gt;0.10&lt;/span&gt;&lt;/p&gt;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class="stat-value-2"&gt;0.11&lt;/span&gt;&lt;/p&gt;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class="stat-value-2"&gt;0.19&lt;/span&gt;&lt;/p&gt;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class="stat-value-2"&gt;0.22&lt;/span&gt;&lt;/p&gt;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class="stat-value-2"&gt;0.13&lt;/span&gt;&lt;/p&gt;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class="stat-value-2"&gt;0.13&lt;/span&gt;&lt;/p&gt;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class="stat-value-2"&gt;0.14&lt;/span&gt;&lt;/p&gt;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class="stat-value-2"&gt;1&lt;/span&gt;&lt;/p&gt;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class="stat-value-2"&gt;2&lt;/span&gt;&lt;/p&gt;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class="stat-value-2"&gt;1&lt;/span&gt;&lt;/p&gt;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class="stat-value-2"&gt;1&lt;/span&gt;&lt;/p&gt;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class="stat-value-2"&gt;2&lt;/span&gt;&lt;/p&gt;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class="stat-value-2"&gt;0&lt;/span&gt;&lt;/p&gt;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class="stat-value-2"&gt;0&lt;/span&gt;&lt;/p&gt;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class="stat-value-2"&gt;0&lt;/span&gt;&lt;/p&gt;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class="stat-value-2"&gt;9&lt;/span&gt;&lt;/p&gt;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class="stat-value-2"&gt;0&lt;/span&gt;&lt;/p&gt;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class="stat-value-2"&gt;2&lt;/span&gt;&lt;/p&gt;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class="stat-value-2"&gt;7&lt;/span&gt;&lt;/p&gt;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class="stat-value-2"&gt;2&lt;/span&gt;&lt;/p&gt;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class="stat-value-2"&gt;4&lt;/span&gt;&lt;/p&gt;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class="stat-value-2"&gt;2&lt;/span&gt;&lt;/p&gt;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class="stat-value-2"&gt;5&lt;/span&gt;&lt;/p&gt;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class="stat-value-2"&gt;1&lt;/span&gt;&lt;/p&gt;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class="stat-value-2"&gt;1&lt;/span&gt;&lt;/p&gt;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class="stat-value-2"&gt;2&lt;/span&gt;&lt;/p&gt;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class="stat-value-2"&gt;3&lt;/span&gt;&lt;/p&gt;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class="stat-value-2"&gt;2&lt;/span&gt;&lt;/p&gt;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class="stat-value-2"&gt;1&lt;/span&gt;&lt;/p&gt;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class="stat-value-2"&gt;2&lt;/span&gt;&lt;/p&gt;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class="stat-value-2"&gt;1&lt;/span&gt;&lt;/p&gt;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class="stat-value-2"&gt;0&lt;/span&gt;&lt;/p&gt;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class="stat-value-2"&gt;1&lt;/span&gt;&lt;/p&gt;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class="stat-value-2"&gt;2&lt;/span&gt;&lt;/p&gt;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class="stat-value-2"&gt;0&lt;/span&gt;&lt;/p&gt;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class="stat-value-2"&gt;4&lt;/span&gt;&lt;/p&gt;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class="stat-value-2"&gt;2&lt;/span&gt;&lt;/p&gt;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class="stat-value-2"&gt;3&lt;/span&gt;&lt;/p&gt;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class="stat-value-2"&gt;0&lt;/span&gt;&lt;/p&gt;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class="stat-value-2"&gt;1&lt;/span&gt;&lt;/p&gt;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class="stat-value-2"&gt;2&lt;/span&gt;&lt;/p&gt;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class="stat-value-2"&gt;0&lt;/span&gt;&lt;/p&gt;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class="stat-value-2"&gt;3&lt;/span&gt;&lt;/p&gt;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class="stat-value-2"&gt;2&lt;/span&gt;&lt;/p&gt;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class="stat-value-2"&gt;1&lt;/span&gt;&lt;/p&gt;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class="stat-value-2"&gt;2&lt;/span&gt;&lt;/p&gt;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class="stat-value-2"&gt;3&lt;/span&gt;&lt;/p&gt;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class="stat-value-2"&gt;1&lt;/span&gt;&lt;/p&gt;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class="stat-value-2"&gt;2&lt;/span&gt;&lt;/p&gt;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class="stat-value-2"&gt;1&lt;/span&gt;&lt;/p&gt;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class="stat-value-2"&gt;0&lt;/span&gt;&lt;/p&gt;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class="stat-value-2"&gt;1&lt;/span&gt;&lt;/p&gt;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class="stat-value-2"&gt;2&lt;/span&gt;&lt;/p&gt;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class="stat-value-2"&gt;1&lt;/span&gt;&lt;/p&gt;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class="stat-value-2"&gt;2&lt;/span&gt;&lt;/p&gt;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class="stat-value-2"&gt;2&lt;/span&gt;&lt;/p&gt;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class="stat-value-2"&gt;1&lt;/span&gt;&lt;/p&gt;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class="stat-value-2"&gt;3&lt;/span&gt;&lt;/p&gt;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class="stat-value-2"&gt;0&lt;/span&gt;&lt;/p&gt;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class="stat-value-2"&gt;1&lt;/span&gt;&lt;/p&gt;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class="stat-value-2"&gt;2&lt;/span&gt;&lt;/p&gt;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class="stat-value-2"&gt;1&lt;/span&gt;&lt;/p&gt;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class="stat-value-2"&gt;1&lt;/span&gt;&lt;/p&gt;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class="stat-value-2"&gt;0&lt;/span&gt;&lt;/p&gt;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class="stat-value-2"&gt;2&lt;/span&gt;&lt;/p&gt;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class="stat-value-2"&gt;0&lt;/span&gt;&lt;/p&gt;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class="stat-value-2"&gt;1&lt;/span&gt;&lt;/p&gt;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class="stat-value-2"&gt;1&lt;/span&gt;&lt;/p&gt;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class="stat-value-2"&gt;1&lt;/span&gt;&lt;/p&gt;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class="stat-value-2"&gt;4&lt;/span&gt;&lt;/p&gt;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class="stat-value-2"&gt;2&lt;/span&gt;&lt;/p&gt;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class="stat-value-2"&gt;1&lt;/span&gt;&lt;/p&gt;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class="stat-value-2"&gt;6&lt;/span&gt;&lt;/p&gt;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class="stat-value-2"&gt;24&lt;/span&gt;&lt;/p&gt;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class="stat-value-2"&gt;14&lt;/span&gt;&lt;/p&gt;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class="stat-value-2"&gt;0&lt;/span&gt;&lt;/p&gt;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class="stat-value-2"&gt;17&lt;/span&gt;&lt;/p&gt;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class="stat-value-2"&gt;2&lt;/span&gt;&lt;/p&gt;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class="stat-value-2"&gt;28&lt;/span&gt;&lt;/p&gt;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class="stat-value-2"&gt;21&lt;/span&gt;&lt;/p&gt;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class="stat-value-2"&gt;24&lt;/span&gt;&lt;/p&gt;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class="stat-value-2"&gt;0&lt;/span&gt;&lt;/p&gt;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class="stat-value-2"&gt;3&lt;/span&gt;&lt;/p&gt;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class="stat-value-2"&gt;2&lt;/span&gt;&lt;/p&gt;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class="stat-value-2"&gt;12&lt;/span&gt;&lt;/p&gt;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class="stat-value-2"&gt;5&lt;/span&gt;&lt;/p&gt;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class="stat-value-2"&gt;0.11&lt;/span&gt;&lt;/p&gt;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class="stat-value-2"&gt;0.27&lt;/span&gt;&lt;/p&gt;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class="stat-value-2"&gt;0.16&lt;/span&gt;&lt;/p&gt;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class="stat-value-2"&gt;0.19&lt;/span&gt;&lt;/p&gt;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class="stat-value-2"&gt;0.18&lt;/span&gt;&lt;/p&gt;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class="stat-value-2"&gt;0.31&lt;/span&gt;&lt;/p&gt;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class="stat-value-2"&gt;0.23&lt;/span&gt;&lt;/p&gt;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class="stat-value-2"&gt;0.27&lt;/span&gt;&lt;/p&gt;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class="stat-value-2"&gt;0.04&lt;/span&gt;&lt;/p&gt;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class="stat-value-2"&gt;0.03&lt;/span&gt;&lt;/p&gt;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class="stat-value-2"&gt;0.17&lt;/span&gt;&lt;/p&gt;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class="stat-value-2"&gt;0.13&lt;/span&gt;&lt;/p&gt;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class="stat-value-2"&gt;2&lt;/span&gt;&lt;/p&gt;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class="stat-value-2"&gt;2&lt;/span&gt;&lt;/p&gt;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class="stat-value-2"&gt;0&lt;/span&gt;&lt;/p&gt;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class="stat-value-2"&gt;1&lt;/span&gt;&lt;/p&gt;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class="stat-value-2"&gt;2&lt;/span&gt;&lt;/p&gt;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class="stat-value-2"&gt;3&lt;/span&gt;&lt;/p&gt;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class="stat-value-2"&gt;3&lt;/span&gt;&lt;/p&gt;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class="stat-value-2"&gt;0&lt;/span&gt;&lt;/p&gt;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class="stat-value-2"&gt;1&lt;/span&gt;&lt;/p&gt;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class="stat-value-2"&gt;0&lt;/span&gt;&lt;/p&gt;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class="stat-value-2"&gt;2&lt;/span&gt;&lt;/p&gt;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class="stat-value-2"&gt;4&lt;/span&gt;&lt;/p&gt;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class="stat-value-2"&gt;0&lt;/span&gt;&lt;/p&gt;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class="stat-value-2"&gt;4&lt;/span&gt;&lt;/p&gt;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class="stat-value-2"&gt;4&lt;/span&gt;&lt;/p&gt;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class="stat-value-2"&gt;9&lt;/span&gt;&lt;/p&gt;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class="stat-value-2"&gt;6&lt;/span&gt;&lt;/p&gt;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class="stat-value-2"&gt;6&lt;/span&gt;&lt;/p&gt;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class="stat-value-2"&gt;0&lt;/span&gt;&lt;/p&gt;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class="stat-value-2"&gt;2&lt;/span&gt;&lt;/p&gt;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class="stat-value-2"&gt;0&lt;/span&gt;&lt;/p&gt;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class="stat-value-2"&gt;3&lt;/span&gt;&lt;/p&gt;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class="stat-value-2"&gt;2&lt;/span&gt;&lt;/p&gt;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class="stat-value-2"&gt;1&lt;/span&gt;&lt;/p&gt;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class="stat-value-2"&gt;0&lt;/span&gt;&lt;/p&gt;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class="stat-value-2"&gt;0&lt;/span&gt;&lt;/p&gt;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class="stat-value-2"&gt;2&lt;/span&gt;&lt;/p&gt;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class="stat-value-2"&gt;1&lt;/span&gt;&lt;/p&gt;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class="stat-value-2"&gt;4&lt;/span&gt;&lt;/p&gt;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class="stat-value-2"&gt;4&lt;/span&gt;&lt;/p&gt;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class="stat-value-2"&gt;0&lt;/span&gt;&lt;/p&gt;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class="stat-value-2"&gt;0&lt;/span&gt;&lt;/p&gt;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class="stat-value-2"&gt;1&lt;/span&gt;&lt;/p&gt;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class="stat-value-2"&gt;2&lt;/span&gt;&lt;/p&gt;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class="stat-value-2"&gt;2&lt;/span&gt;&lt;/p&gt;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class="stat-value-2"&gt;3&lt;/span&gt;&lt;/p&gt;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class="stat-value-2"&gt;2&lt;/span&gt;&lt;/p&gt;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class="stat-value-2"&gt;1&lt;/span&gt;&lt;/p&gt;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class="stat-value-2"&gt;1&lt;/span&gt;&lt;/p&gt;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class="stat-value-2"&gt;4&lt;/span&gt;&lt;/p&gt;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class="stat-value-2"&gt;3&lt;/span&gt;&lt;/p&gt;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class="stat-value-2"&gt;1&lt;/span&gt;&lt;/p&gt;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class="stat-value-2"&gt;4&lt;/span&gt;&lt;/p&gt;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class="stat-value-2"&gt;2&lt;/span&gt;&lt;/p&gt;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class="stat-value-2"&gt;1&lt;/span&gt;&lt;/p&gt;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class="stat-value-2"&gt;0&lt;/span&gt;&lt;/p&gt;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class="stat-value-2"&gt;2&lt;/span&gt;&lt;/p&gt;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class="stat-value-2"&gt;1&lt;/span&gt;&lt;/p&gt;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class="stat-value-2"&gt;2&lt;/span&gt;&lt;/p&gt;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class="stat-value-2"&gt;1&lt;/span&gt;&lt;/p&gt;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class="stat-value-2"&gt;2&lt;/span&gt;&lt;/p&gt;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class="stat-value-2"&gt;9&lt;/span&gt;&lt;/p&gt;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class="stat-value-2"&gt;0&lt;/span&gt;&lt;/p&gt;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class="stat-value-2"&gt;1&lt;/span&gt;&lt;/p&gt;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class="stat-value-2"&gt;3&lt;/span&gt;&lt;/p&gt;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class="stat-value-2"&gt;5&lt;/span&gt;&lt;/p&gt;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class="stat-value-2"&gt;0&lt;/span&gt;&lt;/p&gt;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class="stat-value-2"&gt;6&lt;/span&gt;&lt;/p&gt;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class="stat-value-2"&gt;2&lt;/span&gt;&lt;/p&gt;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class="stat-value-2"&gt;1&lt;/span&gt;&lt;/p&gt;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class="stat-value-2"&gt;3&lt;/span&gt;&lt;/p&gt;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class="stat-value-2"&gt;5&lt;/span&gt;&lt;/p&gt;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class="stat-value-2"&gt;0&lt;/span&gt;&lt;/p&gt;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class="stat-value-2"&gt;2&lt;/span&gt;&lt;/p&gt;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class="stat-value-2"&gt;2&lt;/span&gt;&lt;/p&gt;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class="stat-value-2"&gt;5&lt;/span&gt;&lt;/p&gt;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class="stat-value-2"&gt;5&lt;/span&gt;&lt;/p&gt;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class="stat-value-2"&gt;0&lt;/span&gt;&lt;/p&gt;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class="stat-value-2"&gt;1&lt;/span&gt;&lt;/p&gt;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class="stat-value-2"&gt;0&lt;/span&gt;&lt;/p&gt;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class="stat-value-2"&gt;3&lt;/span&gt;&lt;/p&gt;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2629-34D7-40E7-9CD3-ACFFC3B0E969}">
  <dimension ref="A1:AT157"/>
  <sheetViews>
    <sheetView topLeftCell="A91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f t="shared" ref="Y3:Y24" si="1">IFERROR(X3/B3,0)</f>
        <v>0</v>
      </c>
      <c r="Z3"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" spans="1:46" x14ac:dyDescent="0.3">
      <c r="A4" t="s">
        <v>27</v>
      </c>
      <c r="B4">
        <v>65</v>
      </c>
      <c r="C4">
        <v>0</v>
      </c>
      <c r="D4">
        <v>0</v>
      </c>
      <c r="E4">
        <v>0</v>
      </c>
      <c r="F4">
        <v>2</v>
      </c>
      <c r="G4">
        <v>0</v>
      </c>
      <c r="H4">
        <v>1</v>
      </c>
      <c r="I4">
        <v>1</v>
      </c>
      <c r="J4">
        <v>5</v>
      </c>
      <c r="K4">
        <v>4</v>
      </c>
      <c r="L4">
        <v>1</v>
      </c>
      <c r="M4">
        <v>1</v>
      </c>
      <c r="N4">
        <v>15</v>
      </c>
      <c r="O4" s="1">
        <f t="shared" si="0"/>
        <v>0.23076923076923078</v>
      </c>
      <c r="P4">
        <v>1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6</v>
      </c>
      <c r="Y4" s="1">
        <f t="shared" si="1"/>
        <v>9.2307692307692313E-2</v>
      </c>
      <c r="Z4">
        <v>21</v>
      </c>
      <c r="AA4" s="1">
        <f t="shared" si="2"/>
        <v>0.32307692307692309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65&lt;/td&gt;&lt;td&gt;0&lt;/td&gt;&lt;td&gt;0&lt;/td&gt;&lt;td&gt;0&lt;/td&gt;&lt;td&gt;2&lt;/td&gt;&lt;td&gt;0&lt;/td&gt;&lt;td&gt;1&lt;/td&gt;&lt;td&gt;1&lt;/td&gt;&lt;td&gt;5&lt;/td&gt;&lt;td&gt;4&lt;/td&gt;&lt;td&gt;1&lt;/td&gt;&lt;td&gt;1&lt;/td&gt;&lt;td&gt;15&lt;/td&gt;&lt;td&gt;0.23&lt;/td&gt;&lt;td&gt;21&lt;/td&gt;&lt;td&gt;0.32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65&lt;/td&gt;&lt;td&gt;1&lt;/td&gt;&lt;td&gt;3&lt;/td&gt;&lt;td&gt;0&lt;/td&gt;&lt;td&gt;0&lt;/td&gt;&lt;td&gt;0&lt;/td&gt;&lt;td&gt;0&lt;/td&gt;&lt;td&gt;0&lt;/td&gt;&lt;td&gt;2&lt;/td&gt;&lt;td&gt;6&lt;/td&gt;&lt;td&gt;0.09&lt;/td&gt;&lt;td&gt;21&lt;/td&gt;&lt;td&gt;0.32&lt;/td&gt;&lt;/tr&gt;</v>
      </c>
    </row>
    <row r="5" spans="1:46" x14ac:dyDescent="0.3">
      <c r="A5" t="s">
        <v>28</v>
      </c>
      <c r="B5">
        <v>36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4</v>
      </c>
      <c r="O5" s="1">
        <f t="shared" si="0"/>
        <v>0.1111111111111111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2</v>
      </c>
      <c r="Y5" s="1">
        <f t="shared" si="1"/>
        <v>5.5555555555555552E-2</v>
      </c>
      <c r="Z5">
        <v>6</v>
      </c>
      <c r="AA5" s="1">
        <f t="shared" si="2"/>
        <v>0.16666666666666666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36&lt;/td&gt;&lt;td&gt;0&lt;/td&gt;&lt;td&gt;0&lt;/td&gt;&lt;td&gt;0&lt;/td&gt;&lt;td&gt;1&lt;/td&gt;&lt;td&gt;0&lt;/td&gt;&lt;td&gt;0&lt;/td&gt;&lt;td&gt;1&lt;/td&gt;&lt;td&gt;1&lt;/td&gt;&lt;td&gt;0&lt;/td&gt;&lt;td&gt;0&lt;/td&gt;&lt;td&gt;1&lt;/td&gt;&lt;td&gt;4&lt;/td&gt;&lt;td&gt;0.11&lt;/td&gt;&lt;td&gt;6&lt;/td&gt;&lt;td&gt;0.17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36&lt;/td&gt;&lt;td&gt;0&lt;/td&gt;&lt;td&gt;0&lt;/td&gt;&lt;td&gt;0&lt;/td&gt;&lt;td&gt;0&lt;/td&gt;&lt;td&gt;0&lt;/td&gt;&lt;td&gt;0&lt;/td&gt;&lt;td&gt;0&lt;/td&gt;&lt;td&gt;2&lt;/td&gt;&lt;td&gt;2&lt;/td&gt;&lt;td&gt;0.06&lt;/td&gt;&lt;td&gt;6&lt;/td&gt;&lt;td&gt;0.17&lt;/td&gt;&lt;/tr&gt;</v>
      </c>
    </row>
    <row r="6" spans="1:46" x14ac:dyDescent="0.3">
      <c r="A6" t="s">
        <v>29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 s="1">
        <f t="shared" si="1"/>
        <v>0.2</v>
      </c>
      <c r="Z6">
        <v>1</v>
      </c>
      <c r="AA6" s="1">
        <f t="shared" si="2"/>
        <v>0.2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5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1&lt;/td&gt;&lt;td&gt;0.20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5&lt;/td&gt;&lt;td&gt;0&lt;/td&gt;&lt;td&gt;0&lt;/td&gt;&lt;td&gt;0&lt;/td&gt;&lt;td&gt;0&lt;/td&gt;&lt;td&gt;0&lt;/td&gt;&lt;td&gt;1&lt;/td&gt;&lt;td&gt;0&lt;/td&gt;&lt;td&gt;0&lt;/td&gt;&lt;td&gt;1&lt;/td&gt;&lt;td&gt;0.20&lt;/td&gt;&lt;td&gt;1&lt;/td&gt;&lt;td&gt;0.20&lt;/td&gt;&lt;/tr&gt;</v>
      </c>
    </row>
    <row r="7" spans="1:46" x14ac:dyDescent="0.3">
      <c r="A7" t="s">
        <v>30</v>
      </c>
      <c r="B7">
        <v>79</v>
      </c>
      <c r="C7">
        <v>0</v>
      </c>
      <c r="D7">
        <v>0</v>
      </c>
      <c r="E7">
        <v>0</v>
      </c>
      <c r="F7">
        <v>6</v>
      </c>
      <c r="G7">
        <v>0</v>
      </c>
      <c r="H7">
        <v>0</v>
      </c>
      <c r="I7">
        <v>1</v>
      </c>
      <c r="J7">
        <v>1</v>
      </c>
      <c r="K7">
        <v>2</v>
      </c>
      <c r="L7">
        <v>0</v>
      </c>
      <c r="M7">
        <v>0</v>
      </c>
      <c r="N7">
        <v>10</v>
      </c>
      <c r="O7" s="1">
        <f t="shared" si="0"/>
        <v>0.12658227848101267</v>
      </c>
      <c r="P7">
        <v>3</v>
      </c>
      <c r="Q7">
        <v>6</v>
      </c>
      <c r="R7">
        <v>4</v>
      </c>
      <c r="S7">
        <v>2</v>
      </c>
      <c r="T7">
        <v>0</v>
      </c>
      <c r="U7">
        <v>1</v>
      </c>
      <c r="V7">
        <v>4</v>
      </c>
      <c r="W7">
        <v>0</v>
      </c>
      <c r="X7">
        <v>20</v>
      </c>
      <c r="Y7" s="1">
        <f t="shared" si="1"/>
        <v>0.25316455696202533</v>
      </c>
      <c r="Z7">
        <v>30</v>
      </c>
      <c r="AA7" s="1">
        <f t="shared" si="2"/>
        <v>0.379746835443038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79&lt;/td&gt;&lt;td&gt;0&lt;/td&gt;&lt;td&gt;0&lt;/td&gt;&lt;td&gt;0&lt;/td&gt;&lt;td&gt;6&lt;/td&gt;&lt;td&gt;0&lt;/td&gt;&lt;td&gt;0&lt;/td&gt;&lt;td&gt;1&lt;/td&gt;&lt;td&gt;1&lt;/td&gt;&lt;td&gt;2&lt;/td&gt;&lt;td&gt;0&lt;/td&gt;&lt;td&gt;0&lt;/td&gt;&lt;td&gt;10&lt;/td&gt;&lt;td&gt;0.13&lt;/td&gt;&lt;td&gt;30&lt;/td&gt;&lt;td&gt;0.38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79&lt;/td&gt;&lt;td&gt;3&lt;/td&gt;&lt;td&gt;6&lt;/td&gt;&lt;td&gt;4&lt;/td&gt;&lt;td&gt;2&lt;/td&gt;&lt;td&gt;0&lt;/td&gt;&lt;td&gt;1&lt;/td&gt;&lt;td&gt;4&lt;/td&gt;&lt;td&gt;0&lt;/td&gt;&lt;td&gt;20&lt;/td&gt;&lt;td&gt;0.25&lt;/td&gt;&lt;td&gt;30&lt;/td&gt;&lt;td&gt;0.38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26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3</v>
      </c>
      <c r="O9" s="1">
        <f t="shared" si="0"/>
        <v>0.11538461538461539</v>
      </c>
      <c r="P9">
        <v>0</v>
      </c>
      <c r="Q9">
        <v>4</v>
      </c>
      <c r="R9">
        <v>2</v>
      </c>
      <c r="S9">
        <v>0</v>
      </c>
      <c r="T9">
        <v>1</v>
      </c>
      <c r="U9">
        <v>0</v>
      </c>
      <c r="V9">
        <v>1</v>
      </c>
      <c r="W9">
        <v>0</v>
      </c>
      <c r="X9">
        <v>8</v>
      </c>
      <c r="Y9" s="1">
        <f t="shared" si="1"/>
        <v>0.30769230769230771</v>
      </c>
      <c r="Z9">
        <v>11</v>
      </c>
      <c r="AA9" s="1">
        <f t="shared" si="2"/>
        <v>0.42307692307692307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26&lt;/td&gt;&lt;td&gt;0&lt;/td&gt;&lt;td&gt;0&lt;/td&gt;&lt;td&gt;0&lt;/td&gt;&lt;td&gt;1&lt;/td&gt;&lt;td&gt;0&lt;/td&gt;&lt;td&gt;0&lt;/td&gt;&lt;td&gt;2&lt;/td&gt;&lt;td&gt;0&lt;/td&gt;&lt;td&gt;0&lt;/td&gt;&lt;td&gt;0&lt;/td&gt;&lt;td&gt;0&lt;/td&gt;&lt;td&gt;3&lt;/td&gt;&lt;td&gt;0.12&lt;/td&gt;&lt;td&gt;11&lt;/td&gt;&lt;td&gt;0.42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26&lt;/td&gt;&lt;td&gt;0&lt;/td&gt;&lt;td&gt;4&lt;/td&gt;&lt;td&gt;2&lt;/td&gt;&lt;td&gt;0&lt;/td&gt;&lt;td&gt;1&lt;/td&gt;&lt;td&gt;0&lt;/td&gt;&lt;td&gt;1&lt;/td&gt;&lt;td&gt;0&lt;/td&gt;&lt;td&gt;8&lt;/td&gt;&lt;td&gt;0.31&lt;/td&gt;&lt;td&gt;11&lt;/td&gt;&lt;td&gt;0.42&lt;/td&gt;&lt;/tr&gt;</v>
      </c>
    </row>
    <row r="10" spans="1:46" x14ac:dyDescent="0.3">
      <c r="A10" t="s">
        <v>33</v>
      </c>
      <c r="B10">
        <v>77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3</v>
      </c>
      <c r="K10">
        <v>5</v>
      </c>
      <c r="L10">
        <v>0</v>
      </c>
      <c r="M10">
        <v>0</v>
      </c>
      <c r="N10">
        <v>10</v>
      </c>
      <c r="O10" s="1">
        <f t="shared" si="0"/>
        <v>0.12987012987012986</v>
      </c>
      <c r="P10">
        <v>1</v>
      </c>
      <c r="Q10">
        <v>0</v>
      </c>
      <c r="R10">
        <v>2</v>
      </c>
      <c r="S10">
        <v>0</v>
      </c>
      <c r="T10">
        <v>0</v>
      </c>
      <c r="U10">
        <v>1</v>
      </c>
      <c r="V10">
        <v>0</v>
      </c>
      <c r="W10">
        <v>1</v>
      </c>
      <c r="X10">
        <v>5</v>
      </c>
      <c r="Y10" s="1">
        <f t="shared" si="1"/>
        <v>6.4935064935064929E-2</v>
      </c>
      <c r="Z10">
        <v>15</v>
      </c>
      <c r="AA10" s="1">
        <f t="shared" si="2"/>
        <v>0.19480519480519481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77&lt;/td&gt;&lt;td&gt;0&lt;/td&gt;&lt;td&gt;0&lt;/td&gt;&lt;td&gt;0&lt;/td&gt;&lt;td&gt;1&lt;/td&gt;&lt;td&gt;0&lt;/td&gt;&lt;td&gt;1&lt;/td&gt;&lt;td&gt;0&lt;/td&gt;&lt;td&gt;3&lt;/td&gt;&lt;td&gt;5&lt;/td&gt;&lt;td&gt;0&lt;/td&gt;&lt;td&gt;0&lt;/td&gt;&lt;td&gt;10&lt;/td&gt;&lt;td&gt;0.13&lt;/td&gt;&lt;td&gt;15&lt;/td&gt;&lt;td&gt;0.19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77&lt;/td&gt;&lt;td&gt;1&lt;/td&gt;&lt;td&gt;0&lt;/td&gt;&lt;td&gt;2&lt;/td&gt;&lt;td&gt;0&lt;/td&gt;&lt;td&gt;0&lt;/td&gt;&lt;td&gt;1&lt;/td&gt;&lt;td&gt;0&lt;/td&gt;&lt;td&gt;1&lt;/td&gt;&lt;td&gt;5&lt;/td&gt;&lt;td&gt;0.06&lt;/td&gt;&lt;td&gt;15&lt;/td&gt;&lt;td&gt;0.19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32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2</v>
      </c>
      <c r="J12">
        <v>1</v>
      </c>
      <c r="K12">
        <v>0</v>
      </c>
      <c r="L12">
        <v>0</v>
      </c>
      <c r="M12">
        <v>0</v>
      </c>
      <c r="N12">
        <v>5</v>
      </c>
      <c r="O12" s="1">
        <f t="shared" si="0"/>
        <v>0.15625</v>
      </c>
      <c r="P12">
        <v>5</v>
      </c>
      <c r="Q12">
        <v>1</v>
      </c>
      <c r="R12">
        <v>3</v>
      </c>
      <c r="S12">
        <v>0</v>
      </c>
      <c r="T12">
        <v>0</v>
      </c>
      <c r="U12">
        <v>1</v>
      </c>
      <c r="V12">
        <v>0</v>
      </c>
      <c r="W12">
        <v>5</v>
      </c>
      <c r="X12">
        <v>15</v>
      </c>
      <c r="Y12" s="1">
        <f t="shared" si="1"/>
        <v>0.46875</v>
      </c>
      <c r="Z12">
        <v>20</v>
      </c>
      <c r="AA12" s="1">
        <f t="shared" si="2"/>
        <v>0.625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32&lt;/td&gt;&lt;td&gt;0&lt;/td&gt;&lt;td&gt;0&lt;/td&gt;&lt;td&gt;0&lt;/td&gt;&lt;td&gt;2&lt;/td&gt;&lt;td&gt;0&lt;/td&gt;&lt;td&gt;0&lt;/td&gt;&lt;td&gt;2&lt;/td&gt;&lt;td&gt;1&lt;/td&gt;&lt;td&gt;0&lt;/td&gt;&lt;td&gt;0&lt;/td&gt;&lt;td&gt;0&lt;/td&gt;&lt;td&gt;5&lt;/td&gt;&lt;td&gt;0.16&lt;/td&gt;&lt;td&gt;20&lt;/td&gt;&lt;td&gt;0.63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32&lt;/td&gt;&lt;td&gt;5&lt;/td&gt;&lt;td&gt;1&lt;/td&gt;&lt;td&gt;3&lt;/td&gt;&lt;td&gt;0&lt;/td&gt;&lt;td&gt;0&lt;/td&gt;&lt;td&gt;1&lt;/td&gt;&lt;td&gt;0&lt;/td&gt;&lt;td&gt;5&lt;/td&gt;&lt;td&gt;15&lt;/td&gt;&lt;td&gt;0.47&lt;/td&gt;&lt;td&gt;20&lt;/td&gt;&lt;td&gt;0.63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70</v>
      </c>
      <c r="C14">
        <v>0</v>
      </c>
      <c r="D14">
        <v>0</v>
      </c>
      <c r="E14">
        <v>0</v>
      </c>
      <c r="F14">
        <v>1</v>
      </c>
      <c r="G14">
        <v>2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4</v>
      </c>
      <c r="O14" s="1">
        <f t="shared" si="0"/>
        <v>5.7142857142857141E-2</v>
      </c>
      <c r="P14">
        <v>0</v>
      </c>
      <c r="Q14">
        <v>5</v>
      </c>
      <c r="R14">
        <v>1</v>
      </c>
      <c r="S14">
        <v>1</v>
      </c>
      <c r="T14">
        <v>1</v>
      </c>
      <c r="U14">
        <v>2</v>
      </c>
      <c r="V14">
        <v>3</v>
      </c>
      <c r="W14">
        <v>1</v>
      </c>
      <c r="X14">
        <v>14</v>
      </c>
      <c r="Y14" s="1">
        <f t="shared" si="1"/>
        <v>0.2</v>
      </c>
      <c r="Z14">
        <v>18</v>
      </c>
      <c r="AA14" s="1">
        <f t="shared" si="2"/>
        <v>0.25714285714285712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70&lt;/td&gt;&lt;td&gt;0&lt;/td&gt;&lt;td&gt;0&lt;/td&gt;&lt;td&gt;0&lt;/td&gt;&lt;td&gt;1&lt;/td&gt;&lt;td&gt;2&lt;/td&gt;&lt;td&gt;1&lt;/td&gt;&lt;td&gt;0&lt;/td&gt;&lt;td&gt;1&lt;/td&gt;&lt;td&gt;1&lt;/td&gt;&lt;td&gt;0&lt;/td&gt;&lt;td&gt;0&lt;/td&gt;&lt;td&gt;4&lt;/td&gt;&lt;td&gt;0.06&lt;/td&gt;&lt;td&gt;18&lt;/td&gt;&lt;td&gt;0.26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70&lt;/td&gt;&lt;td&gt;0&lt;/td&gt;&lt;td&gt;5&lt;/td&gt;&lt;td&gt;1&lt;/td&gt;&lt;td&gt;1&lt;/td&gt;&lt;td&gt;1&lt;/td&gt;&lt;td&gt;2&lt;/td&gt;&lt;td&gt;3&lt;/td&gt;&lt;td&gt;1&lt;/td&gt;&lt;td&gt;14&lt;/td&gt;&lt;td&gt;0.20&lt;/td&gt;&lt;td&gt;18&lt;/td&gt;&lt;td&gt;0.26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2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4</v>
      </c>
      <c r="O15" s="1">
        <f t="shared" si="0"/>
        <v>4.4444444444444446E-2</v>
      </c>
      <c r="P15">
        <v>1</v>
      </c>
      <c r="Q15">
        <v>10</v>
      </c>
      <c r="R15">
        <v>2</v>
      </c>
      <c r="S15">
        <v>0</v>
      </c>
      <c r="T15">
        <v>3</v>
      </c>
      <c r="U15">
        <v>0</v>
      </c>
      <c r="V15">
        <v>6</v>
      </c>
      <c r="W15">
        <v>5</v>
      </c>
      <c r="X15">
        <v>27</v>
      </c>
      <c r="Y15" s="1">
        <f t="shared" si="1"/>
        <v>0.3</v>
      </c>
      <c r="Z15">
        <v>31</v>
      </c>
      <c r="AA15" s="1">
        <f t="shared" si="2"/>
        <v>0.34444444444444444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2&lt;/td&gt;&lt;td&gt;0&lt;/td&gt;&lt;td&gt;1&lt;/td&gt;&lt;td&gt;0&lt;/td&gt;&lt;td&gt;0&lt;/td&gt;&lt;td&gt;0&lt;/td&gt;&lt;td&gt;1&lt;/td&gt;&lt;td&gt;0&lt;/td&gt;&lt;td&gt;4&lt;/td&gt;&lt;td&gt;0.04&lt;/td&gt;&lt;td&gt;31&lt;/td&gt;&lt;td&gt;0.34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1&lt;/td&gt;&lt;td&gt;10&lt;/td&gt;&lt;td&gt;2&lt;/td&gt;&lt;td&gt;0&lt;/td&gt;&lt;td&gt;3&lt;/td&gt;&lt;td&gt;0&lt;/td&gt;&lt;td&gt;6&lt;/td&gt;&lt;td&gt;5&lt;/td&gt;&lt;td&gt;27&lt;/td&gt;&lt;td&gt;0.30&lt;/td&gt;&lt;td&gt;31&lt;/td&gt;&lt;td&gt;0.34&lt;/td&gt;&lt;/tr&gt;</v>
      </c>
    </row>
    <row r="16" spans="1:46" x14ac:dyDescent="0.3">
      <c r="A16" t="s">
        <v>39</v>
      </c>
      <c r="B16">
        <v>48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1</v>
      </c>
      <c r="K16">
        <v>2</v>
      </c>
      <c r="L16">
        <v>1</v>
      </c>
      <c r="M16">
        <v>0</v>
      </c>
      <c r="N16">
        <v>6</v>
      </c>
      <c r="O16" s="1">
        <f t="shared" si="0"/>
        <v>0.125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 s="1">
        <f t="shared" si="1"/>
        <v>2.0833333333333332E-2</v>
      </c>
      <c r="Z16">
        <v>7</v>
      </c>
      <c r="AA16" s="1">
        <f t="shared" si="2"/>
        <v>0.14583333333333334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48&lt;/td&gt;&lt;td&gt;0&lt;/td&gt;&lt;td&gt;0&lt;/td&gt;&lt;td&gt;0&lt;/td&gt;&lt;td&gt;0&lt;/td&gt;&lt;td&gt;0&lt;/td&gt;&lt;td&gt;0&lt;/td&gt;&lt;td&gt;2&lt;/td&gt;&lt;td&gt;1&lt;/td&gt;&lt;td&gt;2&lt;/td&gt;&lt;td&gt;1&lt;/td&gt;&lt;td&gt;0&lt;/td&gt;&lt;td&gt;6&lt;/td&gt;&lt;td&gt;0.13&lt;/td&gt;&lt;td&gt;7&lt;/td&gt;&lt;td&gt;0.15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48&lt;/td&gt;&lt;td&gt;0&lt;/td&gt;&lt;td&gt;1&lt;/td&gt;&lt;td&gt;0&lt;/td&gt;&lt;td&gt;0&lt;/td&gt;&lt;td&gt;0&lt;/td&gt;&lt;td&gt;0&lt;/td&gt;&lt;td&gt;0&lt;/td&gt;&lt;td&gt;0&lt;/td&gt;&lt;td&gt;1&lt;/td&gt;&lt;td&gt;0.02&lt;/td&gt;&lt;td&gt;7&lt;/td&gt;&lt;td&gt;0.15&lt;/td&gt;&lt;/tr&gt;</v>
      </c>
    </row>
    <row r="17" spans="1:46" x14ac:dyDescent="0.3">
      <c r="A17" t="s">
        <v>40</v>
      </c>
      <c r="B17">
        <v>74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>
        <v>1</v>
      </c>
      <c r="J17">
        <v>4</v>
      </c>
      <c r="K17">
        <v>2</v>
      </c>
      <c r="L17">
        <v>0</v>
      </c>
      <c r="M17">
        <v>0</v>
      </c>
      <c r="N17">
        <v>11</v>
      </c>
      <c r="O17" s="1">
        <f t="shared" si="0"/>
        <v>0.14864864864864866</v>
      </c>
      <c r="P17">
        <v>2</v>
      </c>
      <c r="Q17">
        <v>0</v>
      </c>
      <c r="R17">
        <v>0</v>
      </c>
      <c r="S17">
        <v>0</v>
      </c>
      <c r="T17">
        <v>2</v>
      </c>
      <c r="U17">
        <v>0</v>
      </c>
      <c r="V17">
        <v>1</v>
      </c>
      <c r="W17">
        <v>1</v>
      </c>
      <c r="X17">
        <v>6</v>
      </c>
      <c r="Y17" s="1">
        <f t="shared" si="1"/>
        <v>8.1081081081081086E-2</v>
      </c>
      <c r="Z17">
        <v>17</v>
      </c>
      <c r="AA17" s="1">
        <f t="shared" si="2"/>
        <v>0.22972972972972974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74&lt;/td&gt;&lt;td&gt;0&lt;/td&gt;&lt;td&gt;0&lt;/td&gt;&lt;td&gt;1&lt;/td&gt;&lt;td&gt;2&lt;/td&gt;&lt;td&gt;0&lt;/td&gt;&lt;td&gt;1&lt;/td&gt;&lt;td&gt;1&lt;/td&gt;&lt;td&gt;4&lt;/td&gt;&lt;td&gt;2&lt;/td&gt;&lt;td&gt;0&lt;/td&gt;&lt;td&gt;0&lt;/td&gt;&lt;td&gt;11&lt;/td&gt;&lt;td&gt;0.15&lt;/td&gt;&lt;td&gt;17&lt;/td&gt;&lt;td&gt;0.23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74&lt;/td&gt;&lt;td&gt;2&lt;/td&gt;&lt;td&gt;0&lt;/td&gt;&lt;td&gt;0&lt;/td&gt;&lt;td&gt;0&lt;/td&gt;&lt;td&gt;2&lt;/td&gt;&lt;td&gt;0&lt;/td&gt;&lt;td&gt;1&lt;/td&gt;&lt;td&gt;1&lt;/td&gt;&lt;td&gt;6&lt;/td&gt;&lt;td&gt;0.08&lt;/td&gt;&lt;td&gt;17&lt;/td&gt;&lt;td&gt;0.23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1</v>
      </c>
      <c r="M19">
        <v>0</v>
      </c>
      <c r="N19">
        <v>3</v>
      </c>
      <c r="O19" s="1">
        <f t="shared" si="0"/>
        <v>0.05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2</v>
      </c>
      <c r="Y19" s="1">
        <f t="shared" si="1"/>
        <v>3.3333333333333333E-2</v>
      </c>
      <c r="Z19">
        <v>5</v>
      </c>
      <c r="AA19" s="1">
        <f t="shared" si="2"/>
        <v>8.3333333333333329E-2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60&lt;/td&gt;&lt;td&gt;0&lt;/td&gt;&lt;td&gt;0&lt;/td&gt;&lt;td&gt;0&lt;/td&gt;&lt;td&gt;0&lt;/td&gt;&lt;td&gt;0&lt;/td&gt;&lt;td&gt;0&lt;/td&gt;&lt;td&gt;0&lt;/td&gt;&lt;td&gt;2&lt;/td&gt;&lt;td&gt;0&lt;/td&gt;&lt;td&gt;1&lt;/td&gt;&lt;td&gt;0&lt;/td&gt;&lt;td&gt;3&lt;/td&gt;&lt;td&gt;0.05&lt;/td&gt;&lt;td&gt;5&lt;/td&gt;&lt;td&gt;0.08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60&lt;/td&gt;&lt;td&gt;1&lt;/td&gt;&lt;td&gt;0&lt;/td&gt;&lt;td&gt;0&lt;/td&gt;&lt;td&gt;0&lt;/td&gt;&lt;td&gt;0&lt;/td&gt;&lt;td&gt;1&lt;/td&gt;&lt;td&gt;0&lt;/td&gt;&lt;td&gt;0&lt;/td&gt;&lt;td&gt;2&lt;/td&gt;&lt;td&gt;0.03&lt;/td&gt;&lt;td&gt;5&lt;/td&gt;&lt;td&gt;0.08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69</v>
      </c>
      <c r="C21">
        <v>0</v>
      </c>
      <c r="D21">
        <v>0</v>
      </c>
      <c r="E21">
        <v>0</v>
      </c>
      <c r="F21">
        <v>3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5</v>
      </c>
      <c r="O21" s="1">
        <f t="shared" si="0"/>
        <v>7.2463768115942032E-2</v>
      </c>
      <c r="P21">
        <v>0</v>
      </c>
      <c r="Q21">
        <v>6</v>
      </c>
      <c r="R21">
        <v>0</v>
      </c>
      <c r="S21">
        <v>0</v>
      </c>
      <c r="T21">
        <v>1</v>
      </c>
      <c r="U21">
        <v>0</v>
      </c>
      <c r="V21">
        <v>4</v>
      </c>
      <c r="W21">
        <v>1</v>
      </c>
      <c r="X21">
        <v>12</v>
      </c>
      <c r="Y21" s="1">
        <f t="shared" si="1"/>
        <v>0.17391304347826086</v>
      </c>
      <c r="Z21">
        <v>17</v>
      </c>
      <c r="AA21" s="1">
        <f t="shared" si="2"/>
        <v>0.24637681159420291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69&lt;/td&gt;&lt;td&gt;0&lt;/td&gt;&lt;td&gt;0&lt;/td&gt;&lt;td&gt;0&lt;/td&gt;&lt;td&gt;3&lt;/td&gt;&lt;td&gt;0&lt;/td&gt;&lt;td&gt;1&lt;/td&gt;&lt;td&gt;0&lt;/td&gt;&lt;td&gt;1&lt;/td&gt;&lt;td&gt;0&lt;/td&gt;&lt;td&gt;0&lt;/td&gt;&lt;td&gt;0&lt;/td&gt;&lt;td&gt;5&lt;/td&gt;&lt;td&gt;0.07&lt;/td&gt;&lt;td&gt;17&lt;/td&gt;&lt;td&gt;0.25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69&lt;/td&gt;&lt;td&gt;0&lt;/td&gt;&lt;td&gt;6&lt;/td&gt;&lt;td&gt;0&lt;/td&gt;&lt;td&gt;0&lt;/td&gt;&lt;td&gt;1&lt;/td&gt;&lt;td&gt;0&lt;/td&gt;&lt;td&gt;4&lt;/td&gt;&lt;td&gt;1&lt;/td&gt;&lt;td&gt;12&lt;/td&gt;&lt;td&gt;0.17&lt;/td&gt;&lt;td&gt;17&lt;/td&gt;&lt;td&gt;0.25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4</v>
      </c>
      <c r="G22">
        <v>0</v>
      </c>
      <c r="H22">
        <v>0</v>
      </c>
      <c r="I22">
        <v>2</v>
      </c>
      <c r="J22">
        <v>0</v>
      </c>
      <c r="K22">
        <v>0</v>
      </c>
      <c r="L22">
        <v>1</v>
      </c>
      <c r="M22">
        <v>0</v>
      </c>
      <c r="N22">
        <v>7</v>
      </c>
      <c r="O22" s="1">
        <f t="shared" si="0"/>
        <v>7.7777777777777779E-2</v>
      </c>
      <c r="P22">
        <v>0</v>
      </c>
      <c r="Q22">
        <v>11</v>
      </c>
      <c r="R22">
        <v>1</v>
      </c>
      <c r="S22">
        <v>0</v>
      </c>
      <c r="T22">
        <v>5</v>
      </c>
      <c r="U22">
        <v>1</v>
      </c>
      <c r="V22">
        <v>17</v>
      </c>
      <c r="W22">
        <v>2</v>
      </c>
      <c r="X22">
        <v>37</v>
      </c>
      <c r="Y22" s="1">
        <f t="shared" si="1"/>
        <v>0.41111111111111109</v>
      </c>
      <c r="Z22">
        <v>44</v>
      </c>
      <c r="AA22" s="1">
        <f t="shared" si="2"/>
        <v>0.48888888888888887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4&lt;/td&gt;&lt;td&gt;0&lt;/td&gt;&lt;td&gt;0&lt;/td&gt;&lt;td&gt;2&lt;/td&gt;&lt;td&gt;0&lt;/td&gt;&lt;td&gt;0&lt;/td&gt;&lt;td&gt;1&lt;/td&gt;&lt;td&gt;0&lt;/td&gt;&lt;td&gt;7&lt;/td&gt;&lt;td&gt;0.08&lt;/td&gt;&lt;td&gt;44&lt;/td&gt;&lt;td&gt;0.49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0&lt;/td&gt;&lt;td&gt;11&lt;/td&gt;&lt;td&gt;1&lt;/td&gt;&lt;td&gt;0&lt;/td&gt;&lt;td&gt;5&lt;/td&gt;&lt;td&gt;1&lt;/td&gt;&lt;td&gt;17&lt;/td&gt;&lt;td&gt;2&lt;/td&gt;&lt;td&gt;37&lt;/td&gt;&lt;td&gt;0.41&lt;/td&gt;&lt;td&gt;44&lt;/td&gt;&lt;td&gt;0.49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79</v>
      </c>
      <c r="C24">
        <v>0</v>
      </c>
      <c r="D24">
        <v>0</v>
      </c>
      <c r="E24">
        <v>0</v>
      </c>
      <c r="F24">
        <v>6</v>
      </c>
      <c r="G24">
        <v>0</v>
      </c>
      <c r="H24">
        <v>0</v>
      </c>
      <c r="I24">
        <v>3</v>
      </c>
      <c r="J24">
        <v>1</v>
      </c>
      <c r="K24">
        <v>0</v>
      </c>
      <c r="L24">
        <v>0</v>
      </c>
      <c r="M24">
        <v>1</v>
      </c>
      <c r="N24">
        <v>11</v>
      </c>
      <c r="O24" s="1">
        <f t="shared" si="0"/>
        <v>0.13924050632911392</v>
      </c>
      <c r="P24">
        <v>2</v>
      </c>
      <c r="Q24">
        <v>4</v>
      </c>
      <c r="R24">
        <v>3</v>
      </c>
      <c r="S24">
        <v>0</v>
      </c>
      <c r="T24">
        <v>0</v>
      </c>
      <c r="U24">
        <v>1</v>
      </c>
      <c r="V24">
        <v>5</v>
      </c>
      <c r="W24">
        <v>3</v>
      </c>
      <c r="X24">
        <v>18</v>
      </c>
      <c r="Y24" s="1">
        <f t="shared" si="1"/>
        <v>0.22784810126582278</v>
      </c>
      <c r="Z24">
        <v>29</v>
      </c>
      <c r="AA24" s="1">
        <f t="shared" si="2"/>
        <v>0.36708860759493672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79&lt;/td&gt;&lt;td&gt;0&lt;/td&gt;&lt;td&gt;0&lt;/td&gt;&lt;td&gt;0&lt;/td&gt;&lt;td&gt;6&lt;/td&gt;&lt;td&gt;0&lt;/td&gt;&lt;td&gt;0&lt;/td&gt;&lt;td&gt;3&lt;/td&gt;&lt;td&gt;1&lt;/td&gt;&lt;td&gt;0&lt;/td&gt;&lt;td&gt;0&lt;/td&gt;&lt;td&gt;1&lt;/td&gt;&lt;td&gt;11&lt;/td&gt;&lt;td&gt;0.14&lt;/td&gt;&lt;td&gt;29&lt;/td&gt;&lt;td&gt;0.37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79&lt;/td&gt;&lt;td&gt;2&lt;/td&gt;&lt;td&gt;4&lt;/td&gt;&lt;td&gt;3&lt;/td&gt;&lt;td&gt;0&lt;/td&gt;&lt;td&gt;0&lt;/td&gt;&lt;td&gt;1&lt;/td&gt;&lt;td&gt;5&lt;/td&gt;&lt;td&gt;3&lt;/td&gt;&lt;td&gt;18&lt;/td&gt;&lt;td&gt;0.23&lt;/td&gt;&lt;td&gt;29&lt;/td&gt;&lt;td&gt;0.37&lt;/td&gt;&lt;/tr&gt;</v>
      </c>
    </row>
    <row r="26" spans="1:46" x14ac:dyDescent="0.3">
      <c r="A26" t="str">
        <f>AC4</f>
        <v>&lt;tr&gt;&lt;td&gt;Makovicka&lt;/td&gt;&lt;td&gt;65&lt;/td&gt;&lt;td&gt;0&lt;/td&gt;&lt;td&gt;0&lt;/td&gt;&lt;td&gt;0&lt;/td&gt;&lt;td&gt;2&lt;/td&gt;&lt;td&gt;0&lt;/td&gt;&lt;td&gt;1&lt;/td&gt;&lt;td&gt;1&lt;/td&gt;&lt;td&gt;5&lt;/td&gt;&lt;td&gt;4&lt;/td&gt;&lt;td&gt;1&lt;/td&gt;&lt;td&gt;1&lt;/td&gt;&lt;td&gt;15&lt;/td&gt;&lt;td&gt;0.23&lt;/td&gt;&lt;td&gt;21&lt;/td&gt;&lt;td&gt;0.32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2&lt;/td&gt;&lt;td&gt;0&lt;/td&gt;&lt;td&gt;1&lt;/td&gt;&lt;td&gt;0&lt;/td&gt;&lt;td&gt;0&lt;/td&gt;&lt;td&gt;0&lt;/td&gt;&lt;td&gt;1&lt;/td&gt;&lt;td&gt;0&lt;/td&gt;&lt;td&gt;4&lt;/td&gt;&lt;td&gt;0.04&lt;/td&gt;&lt;td&gt;31&lt;/td&gt;&lt;td&gt;0.34&lt;/td&gt;&lt;/tr&gt;</v>
      </c>
    </row>
    <row r="28" spans="1:46" x14ac:dyDescent="0.3">
      <c r="A28" t="str">
        <f>AC9</f>
        <v>&lt;tr&gt;&lt;td&gt;Guyott&lt;/td&gt;&lt;td&gt;26&lt;/td&gt;&lt;td&gt;0&lt;/td&gt;&lt;td&gt;0&lt;/td&gt;&lt;td&gt;0&lt;/td&gt;&lt;td&gt;1&lt;/td&gt;&lt;td&gt;0&lt;/td&gt;&lt;td&gt;0&lt;/td&gt;&lt;td&gt;2&lt;/td&gt;&lt;td&gt;0&lt;/td&gt;&lt;td&gt;0&lt;/td&gt;&lt;td&gt;0&lt;/td&gt;&lt;td&gt;0&lt;/td&gt;&lt;td&gt;3&lt;/td&gt;&lt;td&gt;0.12&lt;/td&gt;&lt;td&gt;11&lt;/td&gt;&lt;td&gt;0.42&lt;/td&gt;&lt;/tr&gt;</v>
      </c>
    </row>
    <row r="29" spans="1:46" x14ac:dyDescent="0.3">
      <c r="A29" t="str">
        <f>AC24</f>
        <v>&lt;tr&gt;&lt;td&gt;Sant&lt;/td&gt;&lt;td&gt;79&lt;/td&gt;&lt;td&gt;0&lt;/td&gt;&lt;td&gt;0&lt;/td&gt;&lt;td&gt;0&lt;/td&gt;&lt;td&gt;6&lt;/td&gt;&lt;td&gt;0&lt;/td&gt;&lt;td&gt;0&lt;/td&gt;&lt;td&gt;3&lt;/td&gt;&lt;td&gt;1&lt;/td&gt;&lt;td&gt;0&lt;/td&gt;&lt;td&gt;0&lt;/td&gt;&lt;td&gt;1&lt;/td&gt;&lt;td&gt;11&lt;/td&gt;&lt;td&gt;0.14&lt;/td&gt;&lt;td&gt;29&lt;/td&gt;&lt;td&gt;0.37&lt;/td&gt;&lt;/tr&gt;</v>
      </c>
    </row>
    <row r="30" spans="1:46" x14ac:dyDescent="0.3">
      <c r="A30" t="str">
        <f>AC12</f>
        <v>&lt;tr&gt;&lt;td&gt;Reda&lt;/td&gt;&lt;td&gt;32&lt;/td&gt;&lt;td&gt;0&lt;/td&gt;&lt;td&gt;0&lt;/td&gt;&lt;td&gt;0&lt;/td&gt;&lt;td&gt;2&lt;/td&gt;&lt;td&gt;0&lt;/td&gt;&lt;td&gt;0&lt;/td&gt;&lt;td&gt;2&lt;/td&gt;&lt;td&gt;1&lt;/td&gt;&lt;td&gt;0&lt;/td&gt;&lt;td&gt;0&lt;/td&gt;&lt;td&gt;0&lt;/td&gt;&lt;td&gt;5&lt;/td&gt;&lt;td&gt;0.16&lt;/td&gt;&lt;td&gt;20&lt;/td&gt;&lt;td&gt;0.63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4&lt;/td&gt;&lt;td&gt;0&lt;/td&gt;&lt;td&gt;0&lt;/td&gt;&lt;td&gt;2&lt;/td&gt;&lt;td&gt;0&lt;/td&gt;&lt;td&gt;0&lt;/td&gt;&lt;td&gt;1&lt;/td&gt;&lt;td&gt;0&lt;/td&gt;&lt;td&gt;7&lt;/td&gt;&lt;td&gt;0.08&lt;/td&gt;&lt;td&gt;44&lt;/td&gt;&lt;td&gt;0.49&lt;/td&gt;&lt;/tr&gt;</v>
      </c>
    </row>
    <row r="32" spans="1:46" x14ac:dyDescent="0.3">
      <c r="A32" t="str">
        <f>AC3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3" spans="1:1" x14ac:dyDescent="0.3">
      <c r="A33" t="str">
        <f>AC7</f>
        <v>&lt;tr&gt;&lt;td&gt;Donnelly&lt;/td&gt;&lt;td&gt;79&lt;/td&gt;&lt;td&gt;0&lt;/td&gt;&lt;td&gt;0&lt;/td&gt;&lt;td&gt;0&lt;/td&gt;&lt;td&gt;6&lt;/td&gt;&lt;td&gt;0&lt;/td&gt;&lt;td&gt;0&lt;/td&gt;&lt;td&gt;1&lt;/td&gt;&lt;td&gt;1&lt;/td&gt;&lt;td&gt;2&lt;/td&gt;&lt;td&gt;0&lt;/td&gt;&lt;td&gt;0&lt;/td&gt;&lt;td&gt;10&lt;/td&gt;&lt;td&gt;0.13&lt;/td&gt;&lt;td&gt;30&lt;/td&gt;&lt;td&gt;0.38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70&lt;/td&gt;&lt;td&gt;0&lt;/td&gt;&lt;td&gt;0&lt;/td&gt;&lt;td&gt;0&lt;/td&gt;&lt;td&gt;1&lt;/td&gt;&lt;td&gt;2&lt;/td&gt;&lt;td&gt;1&lt;/td&gt;&lt;td&gt;0&lt;/td&gt;&lt;td&gt;1&lt;/td&gt;&lt;td&gt;1&lt;/td&gt;&lt;td&gt;0&lt;/td&gt;&lt;td&gt;0&lt;/td&gt;&lt;td&gt;4&lt;/td&gt;&lt;td&gt;0.06&lt;/td&gt;&lt;td&gt;18&lt;/td&gt;&lt;td&gt;0.26&lt;/td&gt;&lt;/tr&gt;</v>
      </c>
    </row>
    <row r="38" spans="1:1" x14ac:dyDescent="0.3">
      <c r="A38" t="str">
        <f>AC21</f>
        <v>&lt;tr&gt;&lt;td&gt;Snowden&lt;/td&gt;&lt;td&gt;69&lt;/td&gt;&lt;td&gt;0&lt;/td&gt;&lt;td&gt;0&lt;/td&gt;&lt;td&gt;0&lt;/td&gt;&lt;td&gt;3&lt;/td&gt;&lt;td&gt;0&lt;/td&gt;&lt;td&gt;1&lt;/td&gt;&lt;td&gt;0&lt;/td&gt;&lt;td&gt;1&lt;/td&gt;&lt;td&gt;0&lt;/td&gt;&lt;td&gt;0&lt;/td&gt;&lt;td&gt;0&lt;/td&gt;&lt;td&gt;5&lt;/td&gt;&lt;td&gt;0.07&lt;/td&gt;&lt;td&gt;17&lt;/td&gt;&lt;td&gt;0.25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36&lt;/td&gt;&lt;td&gt;0&lt;/td&gt;&lt;td&gt;0&lt;/td&gt;&lt;td&gt;0&lt;/td&gt;&lt;td&gt;1&lt;/td&gt;&lt;td&gt;0&lt;/td&gt;&lt;td&gt;0&lt;/td&gt;&lt;td&gt;1&lt;/td&gt;&lt;td&gt;1&lt;/td&gt;&lt;td&gt;0&lt;/td&gt;&lt;td&gt;0&lt;/td&gt;&lt;td&gt;1&lt;/td&gt;&lt;td&gt;4&lt;/td&gt;&lt;td&gt;0.11&lt;/td&gt;&lt;td&gt;6&lt;/td&gt;&lt;td&gt;0.17&lt;/td&gt;&lt;/tr&gt;</v>
      </c>
    </row>
    <row r="42" spans="1:1" x14ac:dyDescent="0.3">
      <c r="A42" t="str">
        <f>AC10</f>
        <v>&lt;tr&gt;&lt;td&gt;Rudney&lt;/td&gt;&lt;td&gt;77&lt;/td&gt;&lt;td&gt;0&lt;/td&gt;&lt;td&gt;0&lt;/td&gt;&lt;td&gt;0&lt;/td&gt;&lt;td&gt;1&lt;/td&gt;&lt;td&gt;0&lt;/td&gt;&lt;td&gt;1&lt;/td&gt;&lt;td&gt;0&lt;/td&gt;&lt;td&gt;3&lt;/td&gt;&lt;td&gt;5&lt;/td&gt;&lt;td&gt;0&lt;/td&gt;&lt;td&gt;0&lt;/td&gt;&lt;td&gt;10&lt;/td&gt;&lt;td&gt;0.13&lt;/td&gt;&lt;td&gt;15&lt;/td&gt;&lt;td&gt;0.19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60&lt;/td&gt;&lt;td&gt;0&lt;/td&gt;&lt;td&gt;0&lt;/td&gt;&lt;td&gt;0&lt;/td&gt;&lt;td&gt;0&lt;/td&gt;&lt;td&gt;0&lt;/td&gt;&lt;td&gt;0&lt;/td&gt;&lt;td&gt;0&lt;/td&gt;&lt;td&gt;2&lt;/td&gt;&lt;td&gt;0&lt;/td&gt;&lt;td&gt;1&lt;/td&gt;&lt;td&gt;0&lt;/td&gt;&lt;td&gt;3&lt;/td&gt;&lt;td&gt;0.05&lt;/td&gt;&lt;td&gt;5&lt;/td&gt;&lt;td&gt;0.08&lt;/td&gt;&lt;/tr&gt;</v>
      </c>
    </row>
    <row r="45" spans="1:1" x14ac:dyDescent="0.3">
      <c r="A45" t="str">
        <f>AC17</f>
        <v>&lt;tr&gt;&lt;td&gt;Carpenter&lt;/td&gt;&lt;td&gt;74&lt;/td&gt;&lt;td&gt;0&lt;/td&gt;&lt;td&gt;0&lt;/td&gt;&lt;td&gt;1&lt;/td&gt;&lt;td&gt;2&lt;/td&gt;&lt;td&gt;0&lt;/td&gt;&lt;td&gt;1&lt;/td&gt;&lt;td&gt;1&lt;/td&gt;&lt;td&gt;4&lt;/td&gt;&lt;td&gt;2&lt;/td&gt;&lt;td&gt;0&lt;/td&gt;&lt;td&gt;0&lt;/td&gt;&lt;td&gt;11&lt;/td&gt;&lt;td&gt;0.15&lt;/td&gt;&lt;td&gt;17&lt;/td&gt;&lt;td&gt;0.23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48&lt;/td&gt;&lt;td&gt;0&lt;/td&gt;&lt;td&gt;0&lt;/td&gt;&lt;td&gt;0&lt;/td&gt;&lt;td&gt;0&lt;/td&gt;&lt;td&gt;0&lt;/td&gt;&lt;td&gt;0&lt;/td&gt;&lt;td&gt;2&lt;/td&gt;&lt;td&gt;1&lt;/td&gt;&lt;td&gt;2&lt;/td&gt;&lt;td&gt;1&lt;/td&gt;&lt;td&gt;0&lt;/td&gt;&lt;td&gt;6&lt;/td&gt;&lt;td&gt;0.13&lt;/td&gt;&lt;td&gt;7&lt;/td&gt;&lt;td&gt;0.15&lt;/td&gt;&lt;/tr&gt;</v>
      </c>
    </row>
    <row r="48" spans="1:1" x14ac:dyDescent="0.3">
      <c r="A48" t="str">
        <f>AC6</f>
        <v>&lt;tr&gt;&lt;td&gt;Wistrom&lt;/td&gt;&lt;td&gt;5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1&lt;/td&gt;&lt;td&gt;0.20&lt;/td&gt;&lt;/tr&gt;</v>
      </c>
    </row>
    <row r="50" spans="1:1" x14ac:dyDescent="0.3">
      <c r="A50" t="str">
        <f>AT4</f>
        <v>&lt;tr&gt;&lt;td&gt;Makovicka&lt;/td&gt;&lt;td&gt;65&lt;/td&gt;&lt;td&gt;1&lt;/td&gt;&lt;td&gt;3&lt;/td&gt;&lt;td&gt;0&lt;/td&gt;&lt;td&gt;0&lt;/td&gt;&lt;td&gt;0&lt;/td&gt;&lt;td&gt;0&lt;/td&gt;&lt;td&gt;0&lt;/td&gt;&lt;td&gt;2&lt;/td&gt;&lt;td&gt;6&lt;/td&gt;&lt;td&gt;0.09&lt;/td&gt;&lt;td&gt;21&lt;/td&gt;&lt;td&gt;0.32&lt;/td&gt;&lt;/tr&gt;</v>
      </c>
    </row>
    <row r="51" spans="1:1" x14ac:dyDescent="0.3">
      <c r="A51" t="str">
        <f>AT15</f>
        <v>&lt;tr&gt;&lt;td&gt;Williams&lt;/td&gt;&lt;td&gt;90&lt;/td&gt;&lt;td&gt;1&lt;/td&gt;&lt;td&gt;10&lt;/td&gt;&lt;td&gt;2&lt;/td&gt;&lt;td&gt;0&lt;/td&gt;&lt;td&gt;3&lt;/td&gt;&lt;td&gt;0&lt;/td&gt;&lt;td&gt;6&lt;/td&gt;&lt;td&gt;5&lt;/td&gt;&lt;td&gt;27&lt;/td&gt;&lt;td&gt;0.30&lt;/td&gt;&lt;td&gt;31&lt;/td&gt;&lt;td&gt;0.34&lt;/td&gt;&lt;/tr&gt;</v>
      </c>
    </row>
    <row r="52" spans="1:1" x14ac:dyDescent="0.3">
      <c r="A52" t="str">
        <f>AT9</f>
        <v>&lt;tr&gt;&lt;td&gt;Guyott&lt;/td&gt;&lt;td&gt;26&lt;/td&gt;&lt;td&gt;0&lt;/td&gt;&lt;td&gt;4&lt;/td&gt;&lt;td&gt;2&lt;/td&gt;&lt;td&gt;0&lt;/td&gt;&lt;td&gt;1&lt;/td&gt;&lt;td&gt;0&lt;/td&gt;&lt;td&gt;1&lt;/td&gt;&lt;td&gt;0&lt;/td&gt;&lt;td&gt;8&lt;/td&gt;&lt;td&gt;0.31&lt;/td&gt;&lt;td&gt;11&lt;/td&gt;&lt;td&gt;0.42&lt;/td&gt;&lt;/tr&gt;</v>
      </c>
    </row>
    <row r="53" spans="1:1" x14ac:dyDescent="0.3">
      <c r="A53" t="str">
        <f>AT24</f>
        <v>&lt;tr&gt;&lt;td&gt;Sant&lt;/td&gt;&lt;td&gt;79&lt;/td&gt;&lt;td&gt;2&lt;/td&gt;&lt;td&gt;4&lt;/td&gt;&lt;td&gt;3&lt;/td&gt;&lt;td&gt;0&lt;/td&gt;&lt;td&gt;0&lt;/td&gt;&lt;td&gt;1&lt;/td&gt;&lt;td&gt;5&lt;/td&gt;&lt;td&gt;3&lt;/td&gt;&lt;td&gt;18&lt;/td&gt;&lt;td&gt;0.23&lt;/td&gt;&lt;td&gt;29&lt;/td&gt;&lt;td&gt;0.37&lt;/td&gt;&lt;/tr&gt;</v>
      </c>
    </row>
    <row r="54" spans="1:1" x14ac:dyDescent="0.3">
      <c r="A54" t="str">
        <f>AT12</f>
        <v>&lt;tr&gt;&lt;td&gt;Reda&lt;/td&gt;&lt;td&gt;32&lt;/td&gt;&lt;td&gt;5&lt;/td&gt;&lt;td&gt;1&lt;/td&gt;&lt;td&gt;3&lt;/td&gt;&lt;td&gt;0&lt;/td&gt;&lt;td&gt;0&lt;/td&gt;&lt;td&gt;1&lt;/td&gt;&lt;td&gt;0&lt;/td&gt;&lt;td&gt;5&lt;/td&gt;&lt;td&gt;15&lt;/td&gt;&lt;td&gt;0.47&lt;/td&gt;&lt;td&gt;20&lt;/td&gt;&lt;td&gt;0.63&lt;/td&gt;&lt;/tr&gt;</v>
      </c>
    </row>
    <row r="55" spans="1:1" x14ac:dyDescent="0.3">
      <c r="A55" t="str">
        <f>AT22</f>
        <v>&lt;tr&gt;&lt;td&gt;Borer&lt;/td&gt;&lt;td&gt;90&lt;/td&gt;&lt;td&gt;0&lt;/td&gt;&lt;td&gt;11&lt;/td&gt;&lt;td&gt;1&lt;/td&gt;&lt;td&gt;0&lt;/td&gt;&lt;td&gt;5&lt;/td&gt;&lt;td&gt;1&lt;/td&gt;&lt;td&gt;17&lt;/td&gt;&lt;td&gt;2&lt;/td&gt;&lt;td&gt;37&lt;/td&gt;&lt;td&gt;0.41&lt;/td&gt;&lt;td&gt;44&lt;/td&gt;&lt;td&gt;0.49&lt;/td&gt;&lt;/tr&gt;</v>
      </c>
    </row>
    <row r="56" spans="1:1" x14ac:dyDescent="0.3">
      <c r="A56" t="str">
        <f>AT3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7" spans="1:1" x14ac:dyDescent="0.3">
      <c r="A57" t="str">
        <f>AT7</f>
        <v>&lt;tr&gt;&lt;td&gt;Donnelly&lt;/td&gt;&lt;td&gt;79&lt;/td&gt;&lt;td&gt;3&lt;/td&gt;&lt;td&gt;6&lt;/td&gt;&lt;td&gt;4&lt;/td&gt;&lt;td&gt;2&lt;/td&gt;&lt;td&gt;0&lt;/td&gt;&lt;td&gt;1&lt;/td&gt;&lt;td&gt;4&lt;/td&gt;&lt;td&gt;0&lt;/td&gt;&lt;td&gt;20&lt;/td&gt;&lt;td&gt;0.25&lt;/td&gt;&lt;td&gt;30&lt;/td&gt;&lt;td&gt;0.38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70&lt;/td&gt;&lt;td&gt;0&lt;/td&gt;&lt;td&gt;5&lt;/td&gt;&lt;td&gt;1&lt;/td&gt;&lt;td&gt;1&lt;/td&gt;&lt;td&gt;1&lt;/td&gt;&lt;td&gt;2&lt;/td&gt;&lt;td&gt;3&lt;/td&gt;&lt;td&gt;1&lt;/td&gt;&lt;td&gt;14&lt;/td&gt;&lt;td&gt;0.20&lt;/td&gt;&lt;td&gt;18&lt;/td&gt;&lt;td&gt;0.26&lt;/td&gt;&lt;/tr&gt;</v>
      </c>
    </row>
    <row r="62" spans="1:1" x14ac:dyDescent="0.3">
      <c r="A62" t="str">
        <f>AT21</f>
        <v>&lt;tr&gt;&lt;td&gt;Snowden&lt;/td&gt;&lt;td&gt;69&lt;/td&gt;&lt;td&gt;0&lt;/td&gt;&lt;td&gt;6&lt;/td&gt;&lt;td&gt;0&lt;/td&gt;&lt;td&gt;0&lt;/td&gt;&lt;td&gt;1&lt;/td&gt;&lt;td&gt;0&lt;/td&gt;&lt;td&gt;4&lt;/td&gt;&lt;td&gt;1&lt;/td&gt;&lt;td&gt;12&lt;/td&gt;&lt;td&gt;0.17&lt;/td&gt;&lt;td&gt;17&lt;/td&gt;&lt;td&gt;0.25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36&lt;/td&gt;&lt;td&gt;0&lt;/td&gt;&lt;td&gt;0&lt;/td&gt;&lt;td&gt;0&lt;/td&gt;&lt;td&gt;0&lt;/td&gt;&lt;td&gt;0&lt;/td&gt;&lt;td&gt;0&lt;/td&gt;&lt;td&gt;0&lt;/td&gt;&lt;td&gt;2&lt;/td&gt;&lt;td&gt;2&lt;/td&gt;&lt;td&gt;0.06&lt;/td&gt;&lt;td&gt;6&lt;/td&gt;&lt;td&gt;0.17&lt;/td&gt;&lt;/tr&gt;</v>
      </c>
    </row>
    <row r="66" spans="1:23" x14ac:dyDescent="0.3">
      <c r="A66" t="str">
        <f>AT10</f>
        <v>&lt;tr&gt;&lt;td&gt;Rudney&lt;/td&gt;&lt;td&gt;77&lt;/td&gt;&lt;td&gt;1&lt;/td&gt;&lt;td&gt;0&lt;/td&gt;&lt;td&gt;2&lt;/td&gt;&lt;td&gt;0&lt;/td&gt;&lt;td&gt;0&lt;/td&gt;&lt;td&gt;1&lt;/td&gt;&lt;td&gt;0&lt;/td&gt;&lt;td&gt;1&lt;/td&gt;&lt;td&gt;5&lt;/td&gt;&lt;td&gt;0.06&lt;/td&gt;&lt;td&gt;15&lt;/td&gt;&lt;td&gt;0.19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60&lt;/td&gt;&lt;td&gt;1&lt;/td&gt;&lt;td&gt;0&lt;/td&gt;&lt;td&gt;0&lt;/td&gt;&lt;td&gt;0&lt;/td&gt;&lt;td&gt;0&lt;/td&gt;&lt;td&gt;1&lt;/td&gt;&lt;td&gt;0&lt;/td&gt;&lt;td&gt;0&lt;/td&gt;&lt;td&gt;2&lt;/td&gt;&lt;td&gt;0.03&lt;/td&gt;&lt;td&gt;5&lt;/td&gt;&lt;td&gt;0.08&lt;/td&gt;&lt;/tr&gt;</v>
      </c>
    </row>
    <row r="69" spans="1:23" x14ac:dyDescent="0.3">
      <c r="A69" t="str">
        <f>AT17</f>
        <v>&lt;tr&gt;&lt;td&gt;Carpenter&lt;/td&gt;&lt;td&gt;74&lt;/td&gt;&lt;td&gt;2&lt;/td&gt;&lt;td&gt;0&lt;/td&gt;&lt;td&gt;0&lt;/td&gt;&lt;td&gt;0&lt;/td&gt;&lt;td&gt;2&lt;/td&gt;&lt;td&gt;0&lt;/td&gt;&lt;td&gt;1&lt;/td&gt;&lt;td&gt;1&lt;/td&gt;&lt;td&gt;6&lt;/td&gt;&lt;td&gt;0.08&lt;/td&gt;&lt;td&gt;17&lt;/td&gt;&lt;td&gt;0.23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48&lt;/td&gt;&lt;td&gt;0&lt;/td&gt;&lt;td&gt;1&lt;/td&gt;&lt;td&gt;0&lt;/td&gt;&lt;td&gt;0&lt;/td&gt;&lt;td&gt;0&lt;/td&gt;&lt;td&gt;0&lt;/td&gt;&lt;td&gt;0&lt;/td&gt;&lt;td&gt;0&lt;/td&gt;&lt;td&gt;1&lt;/td&gt;&lt;td&gt;0.02&lt;/td&gt;&lt;td&gt;7&lt;/td&gt;&lt;td&gt;0.15&lt;/td&gt;&lt;/tr&gt;</v>
      </c>
    </row>
    <row r="72" spans="1:23" x14ac:dyDescent="0.3">
      <c r="A72" t="str">
        <f>AT6</f>
        <v>&lt;tr&gt;&lt;td&gt;Wistrom&lt;/td&gt;&lt;td&gt;5&lt;/td&gt;&lt;td&gt;0&lt;/td&gt;&lt;td&gt;0&lt;/td&gt;&lt;td&gt;0&lt;/td&gt;&lt;td&gt;0&lt;/td&gt;&lt;td&gt;0&lt;/td&gt;&lt;td&gt;1&lt;/td&gt;&lt;td&gt;0&lt;/td&gt;&lt;td&gt;0&lt;/td&gt;&lt;td&gt;1&lt;/td&gt;&lt;td&gt;0.20&lt;/td&gt;&lt;td&gt;1&lt;/td&gt;&lt;td&gt;0.20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65,</v>
      </c>
      <c r="B76" t="str">
        <f>"minutes: "&amp;$B$15&amp;","</f>
        <v>minutes: 90,</v>
      </c>
      <c r="C76" t="str">
        <f>"minutes: "&amp;$B$9&amp;","</f>
        <v>minutes: 26,</v>
      </c>
      <c r="D76" t="str">
        <f>"minutes: "&amp;$B$24&amp;","</f>
        <v>minutes: 79,</v>
      </c>
      <c r="E76" t="str">
        <f>"minutes: "&amp;$B$12&amp;","</f>
        <v>minutes: 32,</v>
      </c>
      <c r="F76" t="str">
        <f>"minutes: "&amp;$B$22&amp;","</f>
        <v>minutes: 90,</v>
      </c>
      <c r="G76" t="str">
        <f>"minutes: "&amp;$B$3&amp;","</f>
        <v>minutes: 0,</v>
      </c>
      <c r="H76" t="str">
        <f>"minutes: "&amp;$B$7&amp;","</f>
        <v>minutes: 79,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70,</v>
      </c>
      <c r="M76" t="str">
        <f>"minutes: "&amp;$B$21&amp;","</f>
        <v>minutes: 69,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36,</v>
      </c>
      <c r="Q76" t="str">
        <f>"minutes: "&amp;$B$10&amp;","</f>
        <v>minutes: 77,</v>
      </c>
      <c r="R76" t="str">
        <f>"minutes: "&amp;$B$2&amp;","</f>
        <v>minutes: 0,</v>
      </c>
      <c r="S76" t="str">
        <f>"minutes: "&amp;$B$19&amp;","</f>
        <v>minutes: 60,</v>
      </c>
      <c r="T76" t="str">
        <f>"minutes: "&amp;$B$17&amp;","</f>
        <v>minutes: 74,</v>
      </c>
      <c r="U76" t="str">
        <f>"minutes: "&amp;$B$18&amp;","</f>
        <v>minutes: 0,</v>
      </c>
      <c r="V76" t="str">
        <f>"minutes: "&amp;$B$16&amp;","</f>
        <v>minutes: 48,</v>
      </c>
      <c r="W76" t="str">
        <f>"minutes: "&amp;$B$6&amp;","</f>
        <v>minutes: 5,</v>
      </c>
    </row>
    <row r="77" spans="1:23" x14ac:dyDescent="0.3">
      <c r="A77" t="str">
        <f>"totalActions: "&amp;$Z$4&amp;","</f>
        <v>totalActions: 21,</v>
      </c>
      <c r="B77" t="str">
        <f>"totalActions: "&amp;$Z$15&amp;","</f>
        <v>totalActions: 31,</v>
      </c>
      <c r="C77" t="str">
        <f>"totalActions: "&amp;$Z$9&amp;","</f>
        <v>totalActions: 11,</v>
      </c>
      <c r="D77" t="str">
        <f>"totalActions: "&amp;$Z$24&amp;","</f>
        <v>totalActions: 29,</v>
      </c>
      <c r="E77" t="str">
        <f>"totalActions: "&amp;$Z$12&amp;","</f>
        <v>totalActions: 20,</v>
      </c>
      <c r="F77" t="str">
        <f>"totalActions: "&amp;$Z$22&amp;","</f>
        <v>totalActions: 44,</v>
      </c>
      <c r="G77" t="str">
        <f>"totalActions: "&amp;$Z$3&amp;","</f>
        <v>totalActions: 0,</v>
      </c>
      <c r="H77" t="str">
        <f>"totalActions: "&amp;$Z$7&amp;","</f>
        <v>totalActions: 30,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18,</v>
      </c>
      <c r="M77" t="str">
        <f>"totalActions: "&amp;$Z$21&amp;","</f>
        <v>totalActions: 17,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6,</v>
      </c>
      <c r="Q77" t="str">
        <f>"totalActions: "&amp;$Z$10&amp;","</f>
        <v>totalActions: 15,</v>
      </c>
      <c r="R77" t="str">
        <f>"totalActions: "&amp;$Z$2&amp;","</f>
        <v>totalActions: 0,</v>
      </c>
      <c r="S77" t="str">
        <f>"totalActions: "&amp;$Z$19&amp;","</f>
        <v>totalActions: 5,</v>
      </c>
      <c r="T77" t="str">
        <f>"totalActions: "&amp;$Z$17&amp;","</f>
        <v>totalActions: 17,</v>
      </c>
      <c r="U77" t="str">
        <f>"totalActions: "&amp;$Z$18&amp;","</f>
        <v>totalActions: 0,</v>
      </c>
      <c r="V77" t="str">
        <f>"totalActions: "&amp;$Z$16&amp;","</f>
        <v>totalActions: 7,</v>
      </c>
      <c r="W77" t="str">
        <f>"totalActions: "&amp;$Z$6&amp;","</f>
        <v>totalActions: 1,</v>
      </c>
    </row>
    <row r="78" spans="1:23" x14ac:dyDescent="0.3">
      <c r="A78" t="str">
        <f>"actionsPerMinute: "&amp;TEXT($AA$4,"0.00")&amp;","</f>
        <v>actionsPerMinute: 0.32,</v>
      </c>
      <c r="B78" t="str">
        <f>"actionsPerMinute: "&amp;TEXT($AA$15,"0.00")&amp;","</f>
        <v>actionsPerMinute: 0.34,</v>
      </c>
      <c r="C78" t="str">
        <f>"actionsPerMinute: "&amp;TEXT($AA$9,"0.00")&amp;","</f>
        <v>actionsPerMinute: 0.42,</v>
      </c>
      <c r="D78" t="str">
        <f>"actionsPerMinute: "&amp;TEXT($AA$24,"0.00")&amp;","</f>
        <v>actionsPerMinute: 0.37,</v>
      </c>
      <c r="E78" t="str">
        <f>"actionsPerMinute: "&amp;TEXT($AA$12,"0.00")&amp;","</f>
        <v>actionsPerMinute: 0.63,</v>
      </c>
      <c r="F78" t="str">
        <f>"actionsPerMinute: "&amp;TEXT($AA$22,"0.00")&amp;","</f>
        <v>actionsPerMinute: 0.49,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0.38,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0.26,</v>
      </c>
      <c r="M78" t="str">
        <f>"actionsPerMinute: "&amp;TEXT($AA$21,"0.00")&amp;","</f>
        <v>actionsPerMinute: 0.25,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0.17,</v>
      </c>
      <c r="Q78" t="str">
        <f>"actionsPerMinute: "&amp;TEXT($AA$10,"0.00")&amp;","</f>
        <v>actionsPerMinute: 0.19,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0.08,</v>
      </c>
      <c r="T78" t="str">
        <f>"actionsPerMinute: "&amp;TEXT($AA$17,"0.00")&amp;","</f>
        <v>actionsPerMinute: 0.23,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0.15,</v>
      </c>
      <c r="W78" t="str">
        <f>"actionsPerMinute: "&amp;TEXT($AA$6,"0.00")&amp;","</f>
        <v>actionsPerMinute: 0.20,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15,</v>
      </c>
      <c r="B81" t="str">
        <f>"totalActions: "&amp;$N$15&amp;","</f>
        <v>totalActions: 4,</v>
      </c>
      <c r="C81" t="str">
        <f>"totalActions: "&amp;$N$9&amp;","</f>
        <v>totalActions: 3,</v>
      </c>
      <c r="D81" t="str">
        <f>"totalActions: "&amp;$N$24&amp;","</f>
        <v>totalActions: 11,</v>
      </c>
      <c r="E81" t="str">
        <f>"totalActions: "&amp;$N$12&amp;","</f>
        <v>totalActions: 5,</v>
      </c>
      <c r="F81" t="str">
        <f>"totalActions: "&amp;$N$22&amp;","</f>
        <v>totalActions: 7,</v>
      </c>
      <c r="G81" t="str">
        <f>"totalActions: "&amp;$N$3&amp;","</f>
        <v>totalActions: 0,</v>
      </c>
      <c r="H81" t="str">
        <f>"totalActions: "&amp;$N$7&amp;","</f>
        <v>totalActions: 10,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4,</v>
      </c>
      <c r="M81" t="str">
        <f>"totalActions: "&amp;$N$21&amp;","</f>
        <v>totalActions: 5,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4,</v>
      </c>
      <c r="Q81" t="str">
        <f>"totalActions: "&amp;$N$10&amp;","</f>
        <v>totalActions: 10,</v>
      </c>
      <c r="R81" t="str">
        <f>"totalActions: "&amp;$N$2&amp;","</f>
        <v>totalActions: 0,</v>
      </c>
      <c r="S81" t="str">
        <f>"totalActions: "&amp;$N$19&amp;","</f>
        <v>totalActions: 3,</v>
      </c>
      <c r="T81" t="str">
        <f>"totalActions: "&amp;$N$17&amp;","</f>
        <v>totalActions: 11,</v>
      </c>
      <c r="U81" t="str">
        <f>"totalActions: "&amp;$N$18&amp;","</f>
        <v>totalActions: 0,</v>
      </c>
      <c r="V81" t="str">
        <f>"totalActions: "&amp;$N$16&amp;","</f>
        <v>totalActions: 6,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0.23,</v>
      </c>
      <c r="B82" t="str">
        <f>"actionsPerMinute: "&amp;TEXT($O$15,"0.00")&amp;","</f>
        <v>actionsPerMinute: 0.04,</v>
      </c>
      <c r="C82" t="str">
        <f>"actionsPerMinute: "&amp;TEXT($O$9,"0.00")&amp;","</f>
        <v>actionsPerMinute: 0.12,</v>
      </c>
      <c r="D82" t="str">
        <f>"actionsPerMinute: "&amp;TEXT($O$24,"0.00")&amp;","</f>
        <v>actionsPerMinute: 0.14,</v>
      </c>
      <c r="E82" t="str">
        <f>"actionsPerMinute: "&amp;TEXT($O$12,"0.00")&amp;","</f>
        <v>actionsPerMinute: 0.16,</v>
      </c>
      <c r="F82" t="str">
        <f>"actionsPerMinute: "&amp;TEXT($O$22,"0.00")&amp;","</f>
        <v>actionsPerMinute: 0.08,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0.13,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0.06,</v>
      </c>
      <c r="M82" t="str">
        <f>"actionsPerMinute: "&amp;TEXT($O$21,"0.00")&amp;","</f>
        <v>actionsPerMinute: 0.07,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0.11,</v>
      </c>
      <c r="Q82" t="str">
        <f>"actionsPerMinute: "&amp;TEXT($O$10,"0.00")&amp;","</f>
        <v>actionsPerMinute: 0.13,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0.05,</v>
      </c>
      <c r="T82" t="str">
        <f>"actionsPerMinute: "&amp;TEXT($O$17,"0.00")&amp;","</f>
        <v>actionsPerMinute: 0.15,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0.13,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1,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2,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1,</v>
      </c>
      <c r="B87" t="str">
        <f>"effectiveCrosses: "&amp;$H$15&amp;","</f>
        <v>effectiveCrosses: 1,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1,</v>
      </c>
      <c r="M87" t="str">
        <f>"effectiveCrosses: "&amp;$H$21&amp;","</f>
        <v>effectiveCrosses: 1,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1,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1,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1,</v>
      </c>
      <c r="B88" t="str">
        <f>"oneVOnes: "&amp;$I$15&amp;","</f>
        <v>oneVOnes: 0,</v>
      </c>
      <c r="C88" t="str">
        <f>"oneVOnes: "&amp;$I$9&amp;","</f>
        <v>oneVOnes: 2,</v>
      </c>
      <c r="D88" t="str">
        <f>"oneVOnes: "&amp;$I$24&amp;","</f>
        <v>oneVOnes: 3,</v>
      </c>
      <c r="E88" t="str">
        <f>"oneVOnes: "&amp;$I$12&amp;","</f>
        <v>oneVOnes: 2,</v>
      </c>
      <c r="F88" t="str">
        <f>"oneVOnes: "&amp;$I$22&amp;","</f>
        <v>oneVOnes: 2,</v>
      </c>
      <c r="G88" t="str">
        <f>"oneVOnes: "&amp;$I$3&amp;","</f>
        <v>oneVOnes: 0,</v>
      </c>
      <c r="H88" t="str">
        <f>"oneVOnes: "&amp;$I$7&amp;","</f>
        <v>oneVOnes: 1,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0,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1,</v>
      </c>
      <c r="Q88" t="str">
        <f>"oneVOnes: "&amp;$I$10&amp;","</f>
        <v>oneVOnes: 0,</v>
      </c>
      <c r="R88" t="str">
        <f>"oneVOnes: "&amp;$I$2&amp;","</f>
        <v>oneVOnes: 0,</v>
      </c>
      <c r="S88" t="str">
        <f>"oneVOnes: "&amp;$I$19&amp;","</f>
        <v>oneVOnes: 0,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2,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5,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1,</v>
      </c>
      <c r="E89" t="str">
        <f>"headers: "&amp;$J$12&amp;","</f>
        <v>headers: 1,</v>
      </c>
      <c r="F89" t="str">
        <f>"headers: "&amp;$J$22&amp;","</f>
        <v>headers: 0,</v>
      </c>
      <c r="G89" t="str">
        <f>"headers: "&amp;$J$3&amp;","</f>
        <v>headers: 0,</v>
      </c>
      <c r="H89" t="str">
        <f>"headers: "&amp;$J$7&amp;","</f>
        <v>headers: 1,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1,</v>
      </c>
      <c r="M89" t="str">
        <f>"headers: "&amp;$J$21&amp;","</f>
        <v>headers: 1,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3,</v>
      </c>
      <c r="R89" t="str">
        <f>"headers: "&amp;$J$2&amp;","</f>
        <v>headers: 0,</v>
      </c>
      <c r="S89" t="str">
        <f>"headers: "&amp;$J$19&amp;","</f>
        <v>headers: 2,</v>
      </c>
      <c r="T89" t="str">
        <f>"headers: "&amp;$J$17&amp;","</f>
        <v>headers: 4,</v>
      </c>
      <c r="U89" t="str">
        <f>"headers: "&amp;$J$18&amp;","</f>
        <v>headers: 0,</v>
      </c>
      <c r="V89" t="str">
        <f>"headers: "&amp;$J$16&amp;","</f>
        <v>headers: 1,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4,</v>
      </c>
      <c r="B90" t="str">
        <f>"spEarned: "&amp;$K$15&amp;","</f>
        <v>spEarned: 0,</v>
      </c>
      <c r="C90" t="str">
        <f>"spEarned: "&amp;$K$9&amp;","</f>
        <v>spEarned: 0,</v>
      </c>
      <c r="D90" t="str">
        <f>"spEarned: "&amp;$K$24&amp;","</f>
        <v>spEarned: 0,</v>
      </c>
      <c r="E90" t="str">
        <f>"spEarned: "&amp;$K$12&amp;","</f>
        <v>spEarned: 0,</v>
      </c>
      <c r="F90" t="str">
        <f>"spEarned: "&amp;$K$22&amp;","</f>
        <v>spEarned: 0,</v>
      </c>
      <c r="G90" t="str">
        <f>"spEarned: "&amp;$K$3&amp;","</f>
        <v>spEarned: 0,</v>
      </c>
      <c r="H90" t="str">
        <f>"spEarned: "&amp;$K$7&amp;","</f>
        <v>spEarned: 2,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1,</v>
      </c>
      <c r="M90" t="str">
        <f>"spEarned: "&amp;$K$21&amp;","</f>
        <v>spEarned: 0,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5,</v>
      </c>
      <c r="R90" t="str">
        <f>"spEarned: "&amp;$K$2&amp;","</f>
        <v>spEarned: 0,</v>
      </c>
      <c r="S90" t="str">
        <f>"spEarned: "&amp;$K$19&amp;","</f>
        <v>spEarned: 0,</v>
      </c>
      <c r="T90" t="str">
        <f>"spEarned: "&amp;$K$17&amp;","</f>
        <v>spEarned: 2,</v>
      </c>
      <c r="U90" t="str">
        <f>"spEarned: "&amp;$K$18&amp;","</f>
        <v>spEarned: 0,</v>
      </c>
      <c r="V90" t="str">
        <f>"spEarned: "&amp;$K$16&amp;","</f>
        <v>spEarned: 2,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1,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1,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1,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0,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1,</v>
      </c>
      <c r="B92" t="str">
        <f>"offTargetShots: "&amp;$L$15&amp;","</f>
        <v>offTargetShots: 1,</v>
      </c>
      <c r="C92" t="str">
        <f>"offTargetShots: "&amp;$L$9&amp;","</f>
        <v>offTargetShots: 0,</v>
      </c>
      <c r="D92" t="str">
        <f>"offTargetShots: "&amp;$L$24&amp;","</f>
        <v>offTargetShots: 0,</v>
      </c>
      <c r="E92" t="str">
        <f>"offTargetShots: "&amp;$L$12&amp;","</f>
        <v>offTargetShots: 0,</v>
      </c>
      <c r="F92" t="str">
        <f>"offTargetShots: "&amp;$L$22&amp;","</f>
        <v>offTargetShots: 1,</v>
      </c>
      <c r="G92" t="str">
        <f>"offTargetShots: "&amp;$L$3&amp;","</f>
        <v>offTargetShots: 0,</v>
      </c>
      <c r="H92" t="str">
        <f>"offTargetShots: "&amp;$L$7&amp;","</f>
        <v>offTargetShots: 0,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0,</v>
      </c>
      <c r="R92" t="str">
        <f>"offTargetShots: "&amp;$L$2&amp;","</f>
        <v>offTargetShots: 0,</v>
      </c>
      <c r="S92" t="str">
        <f>"offTargetShots: "&amp;$L$19&amp;","</f>
        <v>offTargetShots: 1,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1,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6,</v>
      </c>
      <c r="B96" t="str">
        <f>"totalActions: "&amp;$X$15&amp;","</f>
        <v>totalActions: 27,</v>
      </c>
      <c r="C96" t="str">
        <f>"totalActions: "&amp;$X$9&amp;","</f>
        <v>totalActions: 8,</v>
      </c>
      <c r="D96" t="str">
        <f>"totalActions: "&amp;$X$24&amp;","</f>
        <v>totalActions: 18,</v>
      </c>
      <c r="E96" t="str">
        <f>"totalActions: "&amp;$X$12&amp;","</f>
        <v>totalActions: 15,</v>
      </c>
      <c r="F96" t="str">
        <f>"totalActions: "&amp;$X$22&amp;","</f>
        <v>totalActions: 37,</v>
      </c>
      <c r="G96" t="str">
        <f>"totalActions: "&amp;$X$3&amp;","</f>
        <v>totalActions: 0,</v>
      </c>
      <c r="H96" t="str">
        <f>"totalActions: "&amp;$X$7&amp;","</f>
        <v>totalActions: 20,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14,</v>
      </c>
      <c r="M96" t="str">
        <f>"totalActions: "&amp;$X$21&amp;","</f>
        <v>totalActions: 12,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2,</v>
      </c>
      <c r="Q96" t="str">
        <f>"totalActions: "&amp;$X$10&amp;","</f>
        <v>totalActions: 5,</v>
      </c>
      <c r="R96" t="str">
        <f>"totalActions: "&amp;$X$2&amp;","</f>
        <v>totalActions: 0,</v>
      </c>
      <c r="S96" t="str">
        <f>"totalActions: "&amp;$X$19&amp;","</f>
        <v>totalActions: 2,</v>
      </c>
      <c r="T96" t="str">
        <f>"totalActions: "&amp;$X$17&amp;","</f>
        <v>totalActions: 6,</v>
      </c>
      <c r="U96" t="str">
        <f>"totalActions: "&amp;$X$18&amp;","</f>
        <v>totalActions: 0,</v>
      </c>
      <c r="V96" t="str">
        <f>"totalActions: "&amp;$X$16&amp;","</f>
        <v>totalActions: 1,</v>
      </c>
      <c r="W96" t="str">
        <f>"totalActions: "&amp;$X$6&amp;","</f>
        <v>totalActions: 1,</v>
      </c>
    </row>
    <row r="97" spans="1:23" x14ac:dyDescent="0.3">
      <c r="A97" t="str">
        <f>"actionsPerMinute: "&amp;TEXT($Y$4,"0.00")&amp;","</f>
        <v>actionsPerMinute: 0.09,</v>
      </c>
      <c r="B97" t="str">
        <f>"actionsPerMinute: "&amp;TEXT($Y$15,"0.00")&amp;","</f>
        <v>actionsPerMinute: 0.30,</v>
      </c>
      <c r="C97" t="str">
        <f>"actionsPerMinute: "&amp;TEXT($Y$9,"0.00")&amp;","</f>
        <v>actionsPerMinute: 0.31,</v>
      </c>
      <c r="D97" t="str">
        <f>"actionsPerMinute: "&amp;TEXT($Y$24,"0.00")&amp;","</f>
        <v>actionsPerMinute: 0.23,</v>
      </c>
      <c r="E97" t="str">
        <f>"actionsPerMinute: "&amp;TEXT($Y$12,"0.00")&amp;","</f>
        <v>actionsPerMinute: 0.47,</v>
      </c>
      <c r="F97" t="str">
        <f>"actionsPerMinute: "&amp;TEXT($Y$22,"0.00")&amp;","</f>
        <v>actionsPerMinute: 0.41,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0.25,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0.20,</v>
      </c>
      <c r="M97" t="str">
        <f>"actionsPerMinute: "&amp;TEXT($Y$21,"0.00")&amp;","</f>
        <v>actionsPerMinute: 0.17,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0.06,</v>
      </c>
      <c r="Q97" t="str">
        <f>"actionsPerMinute: "&amp;TEXT($Y$10,"0.00")&amp;","</f>
        <v>actionsPerMinute: 0.06,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0.03,</v>
      </c>
      <c r="T97" t="str">
        <f>"actionsPerMinute: "&amp;TEXT($Y$17,"0.00")&amp;","</f>
        <v>actionsPerMinute: 0.08,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0.02,</v>
      </c>
      <c r="W97" t="str">
        <f>"actionsPerMinute: "&amp;TEXT($Y$6,"0.00")&amp;","</f>
        <v>actionsPerMinute: 0.20,</v>
      </c>
    </row>
    <row r="98" spans="1:23" x14ac:dyDescent="0.3">
      <c r="A98" t="str">
        <f>"tackles: "&amp;$P$4&amp;","</f>
        <v>tackles: 1,</v>
      </c>
      <c r="B98" t="str">
        <f>"tackles: "&amp;$P$15&amp;","</f>
        <v>tackles: 1,</v>
      </c>
      <c r="C98" t="str">
        <f>"tackles: "&amp;$P$9&amp;","</f>
        <v>tackles: 0,</v>
      </c>
      <c r="D98" t="str">
        <f>"tackles: "&amp;$P$24&amp;","</f>
        <v>tackles: 2,</v>
      </c>
      <c r="E98" t="str">
        <f>"tackles: "&amp;$P$12&amp;","</f>
        <v>tackles: 5,</v>
      </c>
      <c r="F98" t="str">
        <f>"tackles: "&amp;$P$22&amp;","</f>
        <v>tackles: 0,</v>
      </c>
      <c r="G98" t="str">
        <f>"tackles: "&amp;$P$3&amp;","</f>
        <v>tackles: 0,</v>
      </c>
      <c r="H98" t="str">
        <f>"tackles: "&amp;$P$7&amp;","</f>
        <v>tackles: 3,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0,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1,</v>
      </c>
      <c r="R98" t="str">
        <f>"tackles: "&amp;$P$2&amp;","</f>
        <v>tackles: 0,</v>
      </c>
      <c r="S98" t="str">
        <f>"tackles: "&amp;$P$19&amp;","</f>
        <v>tackles: 1,</v>
      </c>
      <c r="T98" t="str">
        <f>"tackles: "&amp;$P$17&amp;","</f>
        <v>tackles: 2,</v>
      </c>
      <c r="U98" t="str">
        <f>"tackles: "&amp;$P$18&amp;","</f>
        <v>tackles: 0,</v>
      </c>
      <c r="V98" t="str">
        <f>"tackles: "&amp;$P$16&amp;","</f>
        <v>tackles: 0,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3,</v>
      </c>
      <c r="B99" t="str">
        <f>"interceptions: "&amp;$Q$15&amp;","</f>
        <v>interceptions: 10,</v>
      </c>
      <c r="C99" t="str">
        <f>"interceptions: "&amp;$Q$9&amp;","</f>
        <v>interceptions: 4,</v>
      </c>
      <c r="D99" t="str">
        <f>"interceptions: "&amp;$Q$24&amp;","</f>
        <v>interceptions: 4,</v>
      </c>
      <c r="E99" t="str">
        <f>"interceptions: "&amp;$Q$12&amp;","</f>
        <v>interceptions: 1,</v>
      </c>
      <c r="F99" t="str">
        <f>"interceptions: "&amp;$Q$22&amp;","</f>
        <v>interceptions: 11,</v>
      </c>
      <c r="G99" t="str">
        <f>"interceptions: "&amp;$Q$3&amp;","</f>
        <v>interceptions: 0,</v>
      </c>
      <c r="H99" t="str">
        <f>"interceptions: "&amp;$Q$7&amp;","</f>
        <v>interceptions: 6,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5,</v>
      </c>
      <c r="M99" t="str">
        <f>"interceptions: "&amp;$Q$21&amp;","</f>
        <v>interceptions: 6,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0,</v>
      </c>
      <c r="Q99" t="str">
        <f>"interceptions: "&amp;$Q$10&amp;","</f>
        <v>interceptions: 0,</v>
      </c>
      <c r="R99" t="str">
        <f>"interceptions: "&amp;$Q$2&amp;","</f>
        <v>interceptions: 0,</v>
      </c>
      <c r="S99" t="str">
        <f>"interceptions: "&amp;$Q$19&amp;","</f>
        <v>interceptions: 0,</v>
      </c>
      <c r="T99" t="str">
        <f>"interceptions: "&amp;$Q$17&amp;","</f>
        <v>interceptions: 0,</v>
      </c>
      <c r="U99" t="str">
        <f>"interceptions: "&amp;$Q$18&amp;","</f>
        <v>interceptions: 0,</v>
      </c>
      <c r="V99" t="str">
        <f>"interceptions: "&amp;$Q$16&amp;","</f>
        <v>interceptions: 1,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0,</v>
      </c>
      <c r="B100" t="str">
        <f>"fhRegains: "&amp;$R$15&amp;","</f>
        <v>fhRegains: 2,</v>
      </c>
      <c r="C100" t="str">
        <f>"fhRegains: "&amp;$R$9&amp;","</f>
        <v>fhRegains: 2,</v>
      </c>
      <c r="D100" t="str">
        <f>"fhRegains: "&amp;$R$24&amp;","</f>
        <v>fhRegains: 3,</v>
      </c>
      <c r="E100" t="str">
        <f>"fhRegains: "&amp;$R$12&amp;","</f>
        <v>fhRegains: 3,</v>
      </c>
      <c r="F100" t="str">
        <f>"fhRegains: "&amp;$R$22&amp;","</f>
        <v>fhRegains: 1,</v>
      </c>
      <c r="G100" t="str">
        <f>"fhRegains: "&amp;$R$3&amp;","</f>
        <v>fhRegains: 0,</v>
      </c>
      <c r="H100" t="str">
        <f>"fhRegains: "&amp;$R$7&amp;","</f>
        <v>fhRegains: 4,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0,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2,</v>
      </c>
      <c r="R100" t="str">
        <f>"fhRegains: "&amp;$R$2&amp;","</f>
        <v>fhRegains: 0,</v>
      </c>
      <c r="S100" t="str">
        <f>"fhRegains: "&amp;$R$19&amp;","</f>
        <v>fhRegains: 0,</v>
      </c>
      <c r="T100" t="str">
        <f>"fhRegains: "&amp;$R$17&amp;","</f>
        <v>fhRegains: 0,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0,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0,</v>
      </c>
      <c r="G101" t="str">
        <f>"blocks: "&amp;$S$3&amp;","</f>
        <v>blocks: 0,</v>
      </c>
      <c r="H101" t="str">
        <f>"blocks: "&amp;$S$7&amp;","</f>
        <v>blocks: 2,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1,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3,</v>
      </c>
      <c r="C102" t="str">
        <f>"clearances: "&amp;$T$9&amp;","</f>
        <v>clearances: 1,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5,</v>
      </c>
      <c r="G102" t="str">
        <f>"clearances: "&amp;$T$3&amp;","</f>
        <v>clearances: 0,</v>
      </c>
      <c r="H102" t="str">
        <f>"clearances: "&amp;$T$7&amp;","</f>
        <v>clearances: 0,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1,</v>
      </c>
      <c r="M102" t="str">
        <f>"clearances: "&amp;$T$21&amp;","</f>
        <v>clearances: 1,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2,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0,</v>
      </c>
      <c r="C103" t="str">
        <f>"separations: "&amp;$U$9&amp;","</f>
        <v>separations: 0,</v>
      </c>
      <c r="D103" t="str">
        <f>"separations: "&amp;$U$24&amp;","</f>
        <v>separations: 1,</v>
      </c>
      <c r="E103" t="str">
        <f>"separations: "&amp;$U$12&amp;","</f>
        <v>separations: 1,</v>
      </c>
      <c r="F103" t="str">
        <f>"separations: "&amp;$U$22&amp;","</f>
        <v>separations: 1,</v>
      </c>
      <c r="G103" t="str">
        <f>"separations: "&amp;$U$3&amp;","</f>
        <v>separations: 0,</v>
      </c>
      <c r="H103" t="str">
        <f>"separations: "&amp;$U$7&amp;","</f>
        <v>separations: 1,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2,</v>
      </c>
      <c r="M103" t="str">
        <f>"separations: "&amp;$U$21&amp;","</f>
        <v>separations: 0,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1,</v>
      </c>
      <c r="R103" t="str">
        <f>"separations: "&amp;$U$2&amp;","</f>
        <v>separations: 0,</v>
      </c>
      <c r="S103" t="str">
        <f>"separations: "&amp;$U$19&amp;","</f>
        <v>separations: 1,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1,</v>
      </c>
    </row>
    <row r="104" spans="1:23" x14ac:dyDescent="0.3">
      <c r="A104" t="str">
        <f>"headers: "&amp;$V$4&amp;","</f>
        <v>headers: 0,</v>
      </c>
      <c r="B104" t="str">
        <f>"headers: "&amp;$V$15&amp;","</f>
        <v>headers: 6,</v>
      </c>
      <c r="C104" t="str">
        <f>"headers: "&amp;$V$9&amp;","</f>
        <v>headers: 1,</v>
      </c>
      <c r="D104" t="str">
        <f>"headers: "&amp;$V$24&amp;","</f>
        <v>headers: 5,</v>
      </c>
      <c r="E104" t="str">
        <f>"headers: "&amp;$V$12&amp;","</f>
        <v>headers: 0,</v>
      </c>
      <c r="F104" t="str">
        <f>"headers: "&amp;$V$22&amp;","</f>
        <v>headers: 17,</v>
      </c>
      <c r="G104" t="str">
        <f>"headers: "&amp;$V$3&amp;","</f>
        <v>headers: 0,</v>
      </c>
      <c r="H104" t="str">
        <f>"headers: "&amp;$V$7&amp;","</f>
        <v>headers: 4,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3,</v>
      </c>
      <c r="M104" t="str">
        <f>"headers: "&amp;$V$21&amp;","</f>
        <v>headers: 4,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1,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2,</v>
      </c>
      <c r="B105" t="str">
        <f>"stopForwardCA: "&amp;$W$15&amp;","</f>
        <v>stopForwardCA: 5,</v>
      </c>
      <c r="C105" t="str">
        <f>"stopForwardCA: "&amp;$W$9&amp;","</f>
        <v>stopForwardCA: 0,</v>
      </c>
      <c r="D105" t="str">
        <f>"stopForwardCA: "&amp;$W$24&amp;","</f>
        <v>stopForwardCA: 3,</v>
      </c>
      <c r="E105" t="str">
        <f>"stopForwardCA: "&amp;$W$12&amp;","</f>
        <v>stopForwardCA: 5,</v>
      </c>
      <c r="F105" t="str">
        <f>"stopForwardCA: "&amp;$W$22&amp;","</f>
        <v>stopForwardCA: 2,</v>
      </c>
      <c r="G105" t="str">
        <f>"stopForwardCA: "&amp;$W$3&amp;","</f>
        <v>stopForwardCA: 0,</v>
      </c>
      <c r="H105" t="str">
        <f>"stopForwardCA: "&amp;$W$7&amp;","</f>
        <v>stopForwardCA: 0,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1,</v>
      </c>
      <c r="M105" t="str">
        <f>"stopForwardCA: "&amp;$W$21&amp;","</f>
        <v>stopForwardCA: 1,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2,</v>
      </c>
      <c r="Q105" t="str">
        <f>"stopForwardCA: "&amp;$W$10&amp;","</f>
        <v>stopForwardCA: 1,</v>
      </c>
      <c r="R105" t="str">
        <f>"stopForwardCA: "&amp;$W$2&amp;","</f>
        <v>stopForwardCA: 0,</v>
      </c>
      <c r="S105" t="str">
        <f>"stopForwardCA: "&amp;$W$19&amp;","</f>
        <v>stopForwardCA: 0,</v>
      </c>
      <c r="T105" t="str">
        <f>"stopForwardCA: "&amp;$W$17&amp;","</f>
        <v>stopForwardCA: 1,</v>
      </c>
      <c r="U105" t="str">
        <f>"stopForwardCA: "&amp;$W$18&amp;","</f>
        <v>stopForwardCA: 0,</v>
      </c>
      <c r="V105" t="str">
        <f>"stopForwardCA: "&amp;$W$16&amp;","</f>
        <v>stopForwardCA: 0,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65,</v>
      </c>
      <c r="B109" t="str">
        <f>"minutes: "&amp;B$15&amp;","</f>
        <v>minutes: 90,</v>
      </c>
      <c r="C109" t="str">
        <f>"minutes: "&amp;B$9&amp;","</f>
        <v>minutes: 26,</v>
      </c>
      <c r="D109" t="str">
        <f>"minutes: "&amp;B$24&amp;","</f>
        <v>minutes: 79,</v>
      </c>
      <c r="E109" t="str">
        <f>"minutes: "&amp;B$12&amp;","</f>
        <v>minutes: 32,</v>
      </c>
      <c r="F109" t="str">
        <f>"minutes: "&amp;B$22&amp;","</f>
        <v>minutes: 90,</v>
      </c>
      <c r="G109" t="str">
        <f>"minutes: "&amp;B$3&amp;","</f>
        <v>minutes: 0,</v>
      </c>
      <c r="H109" t="str">
        <f>"minutes: "&amp;B$7&amp;","</f>
        <v>minutes: 79,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70,</v>
      </c>
      <c r="M109" t="str">
        <f>"minutes: "&amp;B$21&amp;","</f>
        <v>minutes: 69,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36,</v>
      </c>
      <c r="Q109" t="str">
        <f>"minutes: "&amp;B$10&amp;","</f>
        <v>minutes: 77,</v>
      </c>
      <c r="R109" t="str">
        <f>"minutes: "&amp;B$2&amp;","</f>
        <v>minutes: 0,</v>
      </c>
      <c r="S109" t="str">
        <f>"minutes: "&amp;B$19&amp;","</f>
        <v>minutes: 60,</v>
      </c>
      <c r="T109" t="str">
        <f>"minutes: "&amp;B$17&amp;","</f>
        <v>minutes: 74,</v>
      </c>
      <c r="U109" t="str">
        <f>"minutes: "&amp;B$18&amp;","</f>
        <v>minutes: 0,</v>
      </c>
      <c r="V109" t="str">
        <f>"minutes: "&amp;B$16&amp;","</f>
        <v>minutes: 48,</v>
      </c>
      <c r="W109" t="str">
        <f>"minutes: "&amp;B$6&amp;","</f>
        <v>minutes: 5,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1,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2,</v>
      </c>
      <c r="B113" t="str">
        <f>"startCA: "&amp;$F$15&amp;","</f>
        <v>startCA: 2,</v>
      </c>
      <c r="C113" t="str">
        <f>"startCA: "&amp;$F$9&amp;","</f>
        <v>startCA: 1,</v>
      </c>
      <c r="D113" t="str">
        <f>"startCA: "&amp;$F$24&amp;","</f>
        <v>startCA: 6,</v>
      </c>
      <c r="E113" t="str">
        <f>"startCA: "&amp;$F$12&amp;","</f>
        <v>startCA: 2,</v>
      </c>
      <c r="F113" t="str">
        <f>"startCA: "&amp;$F$22&amp;","</f>
        <v>startCA: 4,</v>
      </c>
      <c r="G113" t="str">
        <f>"startCA: "&amp;$F$3&amp;","</f>
        <v>startCA: 0,</v>
      </c>
      <c r="H113" t="str">
        <f>"startCA: "&amp;$F$7&amp;","</f>
        <v>startCA: 6,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1,</v>
      </c>
      <c r="M113" t="str">
        <f>"startCA: "&amp;$F$21&amp;","</f>
        <v>startCA: 3,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1,</v>
      </c>
      <c r="Q113" t="str">
        <f>"startCA: "&amp;$F$10&amp;","</f>
        <v>startCA: 1,</v>
      </c>
      <c r="R113" t="str">
        <f>"startCA: "&amp;$F$2&amp;","</f>
        <v>startCA: 0,</v>
      </c>
      <c r="S113" t="str">
        <f>"startCA: "&amp;$F$19&amp;","</f>
        <v>startCA: 0,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0,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2,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1,</v>
      </c>
      <c r="B115" t="str">
        <f>"effCrosses: "&amp;$H$15&amp;","</f>
        <v>effCrosses: 1,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1,</v>
      </c>
      <c r="M115" t="str">
        <f>"effCrosses: "&amp;$H$21&amp;","</f>
        <v>effCrosses: 1,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1,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1,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1,</v>
      </c>
      <c r="B116" t="str">
        <f>"oneVones: "&amp;$I$15&amp;","</f>
        <v>oneVones: 0,</v>
      </c>
      <c r="C116" t="str">
        <f>"oneVones: "&amp;$I$9&amp;","</f>
        <v>oneVones: 2,</v>
      </c>
      <c r="D116" t="str">
        <f>"oneVones: "&amp;$I$24&amp;","</f>
        <v>oneVones: 3,</v>
      </c>
      <c r="E116" t="str">
        <f>"oneVones: "&amp;$I$12&amp;","</f>
        <v>oneVones: 2,</v>
      </c>
      <c r="F116" t="str">
        <f>"oneVones: "&amp;$I$22&amp;","</f>
        <v>oneVones: 2,</v>
      </c>
      <c r="G116" t="str">
        <f>"oneVones: "&amp;$I$3&amp;","</f>
        <v>oneVones: 0,</v>
      </c>
      <c r="H116" t="str">
        <f>"oneVones: "&amp;$I$7&amp;","</f>
        <v>oneVones: 1,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0,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1,</v>
      </c>
      <c r="Q116" t="str">
        <f>"oneVones: "&amp;$I$10&amp;","</f>
        <v>oneVones: 0,</v>
      </c>
      <c r="R116" t="str">
        <f>"oneVones: "&amp;$I$2&amp;","</f>
        <v>oneVones: 0,</v>
      </c>
      <c r="S116" t="str">
        <f>"oneVones: "&amp;$I$19&amp;","</f>
        <v>oneVones: 0,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2,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5,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1,</v>
      </c>
      <c r="E117" t="str">
        <f>"attHeaders: "&amp;$J$12&amp;","</f>
        <v>attHeaders: 1,</v>
      </c>
      <c r="F117" t="str">
        <f>"attHeaders: "&amp;$J$22&amp;","</f>
        <v>attHeaders: 0,</v>
      </c>
      <c r="G117" t="str">
        <f>"attHeaders: "&amp;$J$3&amp;","</f>
        <v>attHeaders: 0,</v>
      </c>
      <c r="H117" t="str">
        <f>"attHeaders: "&amp;$J$7&amp;","</f>
        <v>attHeaders: 1,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1,</v>
      </c>
      <c r="M117" t="str">
        <f>"attHeaders: "&amp;$J$21&amp;","</f>
        <v>attHeaders: 1,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3,</v>
      </c>
      <c r="R117" t="str">
        <f>"attHeaders: "&amp;$J$2&amp;","</f>
        <v>attHeaders: 0,</v>
      </c>
      <c r="S117" t="str">
        <f>"attHeaders: "&amp;$J$19&amp;","</f>
        <v>attHeaders: 2,</v>
      </c>
      <c r="T117" t="str">
        <f>"attHeaders: "&amp;$J$17&amp;","</f>
        <v>attHeaders: 4,</v>
      </c>
      <c r="U117" t="str">
        <f>"attHeaders: "&amp;$J$18&amp;","</f>
        <v>attHeaders: 0,</v>
      </c>
      <c r="V117" t="str">
        <f>"attHeaders: "&amp;$J$16&amp;","</f>
        <v>attHeaders: 1,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4,</v>
      </c>
      <c r="B118" t="str">
        <f>"spEarned: "&amp;$K$15&amp;","</f>
        <v>spEarned: 0,</v>
      </c>
      <c r="C118" t="str">
        <f>"spEarned: "&amp;$K$9&amp;","</f>
        <v>spEarned: 0,</v>
      </c>
      <c r="D118" t="str">
        <f>"spEarned: "&amp;$K$24&amp;","</f>
        <v>spEarned: 0,</v>
      </c>
      <c r="E118" t="str">
        <f>"spEarned: "&amp;$K$12&amp;","</f>
        <v>spEarned: 0,</v>
      </c>
      <c r="F118" t="str">
        <f>"spEarned: "&amp;$K$22&amp;","</f>
        <v>spEarned: 0,</v>
      </c>
      <c r="G118" t="str">
        <f>"spEarned: "&amp;$K$3&amp;","</f>
        <v>spEarned: 0,</v>
      </c>
      <c r="H118" t="str">
        <f>"spEarned: "&amp;$K$7&amp;","</f>
        <v>spEarned: 2,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1,</v>
      </c>
      <c r="M118" t="str">
        <f>"spEarned: "&amp;$K$21&amp;","</f>
        <v>spEarned: 0,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5,</v>
      </c>
      <c r="R118" t="str">
        <f>"spEarned: "&amp;$K$2&amp;","</f>
        <v>spEarned: 0,</v>
      </c>
      <c r="S118" t="str">
        <f>"spEarned: "&amp;$K$19&amp;","</f>
        <v>spEarned: 0,</v>
      </c>
      <c r="T118" t="str">
        <f>"spEarned: "&amp;$K$17&amp;","</f>
        <v>spEarned: 2,</v>
      </c>
      <c r="U118" t="str">
        <f>"spEarned: "&amp;$K$18&amp;","</f>
        <v>spEarned: 0,</v>
      </c>
      <c r="V118" t="str">
        <f>"spEarned: "&amp;$K$16&amp;","</f>
        <v>spEarned: 2,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1,</v>
      </c>
      <c r="B119" t="str">
        <f>"offTargetShots: "&amp;$L$15&amp;","</f>
        <v>offTargetShots: 1,</v>
      </c>
      <c r="C119" t="str">
        <f>"offTargetShots: "&amp;$L$9&amp;","</f>
        <v>offTargetShots: 0,</v>
      </c>
      <c r="D119" t="str">
        <f>"offTargetShots: "&amp;$L$24&amp;","</f>
        <v>offTargetShots: 0,</v>
      </c>
      <c r="E119" t="str">
        <f>"offTargetShots: "&amp;$L$12&amp;","</f>
        <v>offTargetShots: 0,</v>
      </c>
      <c r="F119" t="str">
        <f>"offTargetShots: "&amp;$L$22&amp;","</f>
        <v>offTargetShots: 1,</v>
      </c>
      <c r="G119" t="str">
        <f>"offTargetShots: "&amp;$L$3&amp;","</f>
        <v>offTargetShots: 0,</v>
      </c>
      <c r="H119" t="str">
        <f>"offTargetShots: "&amp;$L$7&amp;","</f>
        <v>offTargetShots: 0,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0,</v>
      </c>
      <c r="R119" t="str">
        <f>"offTargetShots: "&amp;$L$2&amp;","</f>
        <v>offTargetShots: 0,</v>
      </c>
      <c r="S119" t="str">
        <f>"offTargetShots: "&amp;$L$19&amp;","</f>
        <v>offTargetShots: 1,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1,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1,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1,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1,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0,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0.23,</v>
      </c>
      <c r="B121" t="str">
        <f>"totalOffActMin: "&amp;TEXT($O$15,"0.00")&amp;","</f>
        <v>totalOffActMin: 0.04,</v>
      </c>
      <c r="C121" t="str">
        <f>"totalOffActMin: "&amp;TEXT($O$9,"0.00")&amp;","</f>
        <v>totalOffActMin: 0.12,</v>
      </c>
      <c r="D121" t="str">
        <f>"totalOffActMin: "&amp;TEXT($O$24,"0.00")&amp;","</f>
        <v>totalOffActMin: 0.14,</v>
      </c>
      <c r="E121" t="str">
        <f>"totalOffActMin: "&amp;TEXT($O$12,"0.00")&amp;","</f>
        <v>totalOffActMin: 0.16,</v>
      </c>
      <c r="F121" t="str">
        <f>"totalOffActMin: "&amp;TEXT($O$22,"0.00")&amp;","</f>
        <v>totalOffActMin: 0.08,</v>
      </c>
      <c r="G121" t="str">
        <f>"totalOffActMin: "&amp;TEXT($O$3,"0.00")&amp;","</f>
        <v>totalOffActMin: 0.00,</v>
      </c>
      <c r="H121" t="str">
        <f>"totalOffActMin: "&amp;TEXT($O$7,"0.00")&amp;","</f>
        <v>totalOffActMin: 0.13,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0.06,</v>
      </c>
      <c r="M121" t="str">
        <f>"totalOffActMin: "&amp;TEXT($O$21,"0.00")&amp;","</f>
        <v>totalOffActMin: 0.07,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0.11,</v>
      </c>
      <c r="Q121" t="str">
        <f>"totalOffActMin: "&amp;TEXT($O$10,"0.00")&amp;","</f>
        <v>totalOffActMin: 0.13,</v>
      </c>
      <c r="R121" t="str">
        <f>"totalOffActMin: "&amp;TEXT($O$2,"0.00")&amp;","</f>
        <v>totalOffActMin: 0.00,</v>
      </c>
      <c r="S121" t="str">
        <f>"totalOffActMin: "&amp;TEXT($O$19,"0.00")&amp;","</f>
        <v>totalOffActMin: 0.05,</v>
      </c>
      <c r="T121" t="str">
        <f>"totalOffActMin: "&amp;TEXT($O$17,"0.00")&amp;","</f>
        <v>totalOffActMin: 0.15,</v>
      </c>
      <c r="U121" t="str">
        <f>"totalOffActMin: "&amp;TEXT($O$18,"0.00")&amp;","</f>
        <v>totalOffActMin: 0.00,</v>
      </c>
      <c r="V121" t="str">
        <f>"totalOffActMin: "&amp;TEXT($O$16,"0.00")&amp;","</f>
        <v>totalOffActMin: 0.13,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1,</v>
      </c>
      <c r="B122" t="str">
        <f>"tackles: "&amp;$P$15&amp;","</f>
        <v>tackles: 1,</v>
      </c>
      <c r="C122" t="str">
        <f>"tackles: "&amp;$P$9&amp;","</f>
        <v>tackles: 0,</v>
      </c>
      <c r="D122" t="str">
        <f>"tackles: "&amp;$P$24&amp;","</f>
        <v>tackles: 2,</v>
      </c>
      <c r="E122" t="str">
        <f>"tackles: "&amp;$P$12&amp;","</f>
        <v>tackles: 5,</v>
      </c>
      <c r="F122" t="str">
        <f>"tackles: "&amp;$P$22&amp;","</f>
        <v>tackles: 0,</v>
      </c>
      <c r="G122" t="str">
        <f>"tackles: "&amp;$P$3&amp;","</f>
        <v>tackles: 0,</v>
      </c>
      <c r="H122" t="str">
        <f>"tackles: "&amp;$P$7&amp;","</f>
        <v>tackles: 3,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0,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1,</v>
      </c>
      <c r="R122" t="str">
        <f>"tackles: "&amp;$P$2&amp;","</f>
        <v>tackles: 0,</v>
      </c>
      <c r="S122" t="str">
        <f>"tackles: "&amp;$P$19&amp;","</f>
        <v>tackles: 1,</v>
      </c>
      <c r="T122" t="str">
        <f>"tackles: "&amp;$P$17&amp;","</f>
        <v>tackles: 2,</v>
      </c>
      <c r="U122" t="str">
        <f>"tackles: "&amp;$P$18&amp;","</f>
        <v>tackles: 0,</v>
      </c>
      <c r="V122" t="str">
        <f>"tackles: "&amp;$P$16&amp;","</f>
        <v>tackles: 0,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3,</v>
      </c>
      <c r="B123" t="str">
        <f>"interceptions: "&amp;$Q$15&amp;","</f>
        <v>interceptions: 10,</v>
      </c>
      <c r="C123" t="str">
        <f>"interceptions: "&amp;$Q$9&amp;","</f>
        <v>interceptions: 4,</v>
      </c>
      <c r="D123" t="str">
        <f>"interceptions: "&amp;$Q$24&amp;","</f>
        <v>interceptions: 4,</v>
      </c>
      <c r="E123" t="str">
        <f>"interceptions: "&amp;$Q$12&amp;","</f>
        <v>interceptions: 1,</v>
      </c>
      <c r="F123" t="str">
        <f>"interceptions: "&amp;$Q$22&amp;","</f>
        <v>interceptions: 11,</v>
      </c>
      <c r="G123" t="str">
        <f>"interceptions: "&amp;$Q$3&amp;","</f>
        <v>interceptions: 0,</v>
      </c>
      <c r="H123" t="str">
        <f>"interceptions: "&amp;$Q$7&amp;","</f>
        <v>interceptions: 6,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5,</v>
      </c>
      <c r="M123" t="str">
        <f>"interceptions: "&amp;$Q$21&amp;","</f>
        <v>interceptions: 6,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0,</v>
      </c>
      <c r="Q123" t="str">
        <f>"interceptions: "&amp;$Q$10&amp;","</f>
        <v>interceptions: 0,</v>
      </c>
      <c r="R123" t="str">
        <f>"interceptions: "&amp;$Q$2&amp;","</f>
        <v>interceptions: 0,</v>
      </c>
      <c r="S123" t="str">
        <f>"interceptions: "&amp;$Q$19&amp;","</f>
        <v>interceptions: 0,</v>
      </c>
      <c r="T123" t="str">
        <f>"interceptions: "&amp;$Q$17&amp;","</f>
        <v>interceptions: 0,</v>
      </c>
      <c r="U123" t="str">
        <f>"interceptions: "&amp;$Q$18&amp;","</f>
        <v>interceptions: 0,</v>
      </c>
      <c r="V123" t="str">
        <f>"interceptions: "&amp;$Q$16&amp;","</f>
        <v>interceptions: 1,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0,</v>
      </c>
      <c r="B124" t="str">
        <f>"fhRegains: "&amp;$R$15&amp;","</f>
        <v>fhRegains: 2,</v>
      </c>
      <c r="C124" t="str">
        <f>"fhRegains: "&amp;$R$9&amp;","</f>
        <v>fhRegains: 2,</v>
      </c>
      <c r="D124" t="str">
        <f>"fhRegains: "&amp;$R$24&amp;","</f>
        <v>fhRegains: 3,</v>
      </c>
      <c r="E124" t="str">
        <f>"fhRegains: "&amp;$R$12&amp;","</f>
        <v>fhRegains: 3,</v>
      </c>
      <c r="F124" t="str">
        <f>"fhRegains: "&amp;$R$22&amp;","</f>
        <v>fhRegains: 1,</v>
      </c>
      <c r="G124" t="str">
        <f>"fhRegains: "&amp;$R$3&amp;","</f>
        <v>fhRegains: 0,</v>
      </c>
      <c r="H124" t="str">
        <f>"fhRegains: "&amp;$R$7&amp;","</f>
        <v>fhRegains: 4,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0,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2,</v>
      </c>
      <c r="R124" t="str">
        <f>"fhRegains: "&amp;$R$2&amp;","</f>
        <v>fhRegains: 0,</v>
      </c>
      <c r="S124" t="str">
        <f>"fhRegains: "&amp;$R$19&amp;","</f>
        <v>fhRegains: 0,</v>
      </c>
      <c r="T124" t="str">
        <f>"fhRegains: "&amp;$R$17&amp;","</f>
        <v>fhRegains: 0,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0,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0,</v>
      </c>
      <c r="G125" t="str">
        <f>"blocks: "&amp;$S$3&amp;","</f>
        <v>blocks: 0,</v>
      </c>
      <c r="H125" t="str">
        <f>"blocks: "&amp;$S$7&amp;","</f>
        <v>blocks: 2,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1,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3,</v>
      </c>
      <c r="C126" t="str">
        <f>"clearances: "&amp;$T$9&amp;","</f>
        <v>clearances: 1,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5,</v>
      </c>
      <c r="G126" t="str">
        <f>"clearances: "&amp;$T$3&amp;","</f>
        <v>clearances: 0,</v>
      </c>
      <c r="H126" t="str">
        <f>"clearances: "&amp;$T$7&amp;","</f>
        <v>clearances: 0,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1,</v>
      </c>
      <c r="M126" t="str">
        <f>"clearances: "&amp;$T$21&amp;","</f>
        <v>clearances: 1,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2,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0,</v>
      </c>
      <c r="C127" t="str">
        <f>"separations: "&amp;$U$9&amp;","</f>
        <v>separations: 0,</v>
      </c>
      <c r="D127" t="str">
        <f>"separations: "&amp;$U$24&amp;","</f>
        <v>separations: 1,</v>
      </c>
      <c r="E127" t="str">
        <f>"separations: "&amp;$U$12&amp;","</f>
        <v>separations: 1,</v>
      </c>
      <c r="F127" t="str">
        <f>"separations: "&amp;$U$22&amp;","</f>
        <v>separations: 1,</v>
      </c>
      <c r="G127" t="str">
        <f>"separations: "&amp;$U$3&amp;","</f>
        <v>separations: 0,</v>
      </c>
      <c r="H127" t="str">
        <f>"separations: "&amp;$U$7&amp;","</f>
        <v>separations: 1,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2,</v>
      </c>
      <c r="M127" t="str">
        <f>"separations: "&amp;$U$21&amp;","</f>
        <v>separations: 0,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1,</v>
      </c>
      <c r="R127" t="str">
        <f>"separations: "&amp;$U$2&amp;","</f>
        <v>separations: 0,</v>
      </c>
      <c r="S127" t="str">
        <f>"separations: "&amp;$U$19&amp;","</f>
        <v>separations: 1,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1,</v>
      </c>
    </row>
    <row r="128" spans="1:23" x14ac:dyDescent="0.3">
      <c r="A128" t="str">
        <f>"headers: "&amp;$V$4&amp;","</f>
        <v>headers: 0,</v>
      </c>
      <c r="B128" t="str">
        <f>"headers: "&amp;$V$15&amp;","</f>
        <v>headers: 6,</v>
      </c>
      <c r="C128" t="str">
        <f>"headers: "&amp;$V$9&amp;","</f>
        <v>headers: 1,</v>
      </c>
      <c r="D128" t="str">
        <f>"headers: "&amp;$V$24&amp;","</f>
        <v>headers: 5,</v>
      </c>
      <c r="E128" t="str">
        <f>"headers: "&amp;$V$12&amp;","</f>
        <v>headers: 0,</v>
      </c>
      <c r="F128" t="str">
        <f>"headers: "&amp;$V$22&amp;","</f>
        <v>headers: 17,</v>
      </c>
      <c r="G128" t="str">
        <f>"headers: "&amp;$V$3&amp;","</f>
        <v>headers: 0,</v>
      </c>
      <c r="H128" t="str">
        <f>"headers: "&amp;$V$7&amp;","</f>
        <v>headers: 4,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3,</v>
      </c>
      <c r="M128" t="str">
        <f>"headers: "&amp;$V$21&amp;","</f>
        <v>headers: 4,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1,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2,</v>
      </c>
      <c r="B129" t="str">
        <f>"stopFwdCA: "&amp;$W$15&amp;","</f>
        <v>stopFwdCA: 5,</v>
      </c>
      <c r="C129" t="str">
        <f>"stopFwdCA: "&amp;$W$9&amp;","</f>
        <v>stopFwdCA: 0,</v>
      </c>
      <c r="D129" t="str">
        <f>"stopFwdCA: "&amp;$W$24&amp;","</f>
        <v>stopFwdCA: 3,</v>
      </c>
      <c r="E129" t="str">
        <f>"stopFwdCA: "&amp;$W$12&amp;","</f>
        <v>stopFwdCA: 5,</v>
      </c>
      <c r="F129" t="str">
        <f>"stopFwdCA: "&amp;$W$22&amp;","</f>
        <v>stopFwdCA: 2,</v>
      </c>
      <c r="G129" t="str">
        <f>"stopFwdCA: "&amp;$W$3&amp;","</f>
        <v>stopFwdCA: 0,</v>
      </c>
      <c r="H129" t="str">
        <f>"stopFwdCA: "&amp;$W$7&amp;","</f>
        <v>stopFwdCA: 0,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1,</v>
      </c>
      <c r="M129" t="str">
        <f>"stopFwdCA: "&amp;$W$21&amp;","</f>
        <v>stopFwdCA: 1,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2,</v>
      </c>
      <c r="Q129" t="str">
        <f>"stopFwdCA: "&amp;$W$10&amp;","</f>
        <v>stopFwdCA: 1,</v>
      </c>
      <c r="R129" t="str">
        <f>"stopFwdCA: "&amp;$W$2&amp;","</f>
        <v>stopFwdCA: 0,</v>
      </c>
      <c r="S129" t="str">
        <f>"stopFwdCA: "&amp;$W$19&amp;","</f>
        <v>stopFwdCA: 0,</v>
      </c>
      <c r="T129" t="str">
        <f>"stopFwdCA: "&amp;$W$17&amp;","</f>
        <v>stopFwdCA: 1,</v>
      </c>
      <c r="U129" t="str">
        <f>"stopFwdCA: "&amp;$W$18&amp;","</f>
        <v>stopFwdCA: 0,</v>
      </c>
      <c r="V129" t="str">
        <f>"stopFwdCA: "&amp;$W$16&amp;","</f>
        <v>stopFwdCA: 0,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0.09,</v>
      </c>
      <c r="B130" t="str">
        <f>"totalDefActMin: "&amp;TEXT($Y$15,"0.00")&amp;","</f>
        <v>totalDefActMin: 0.30,</v>
      </c>
      <c r="C130" t="str">
        <f>"totalDefActMin: "&amp;TEXT($Y$9,"0.00")&amp;","</f>
        <v>totalDefActMin: 0.31,</v>
      </c>
      <c r="D130" t="str">
        <f>"totalDefActMin: "&amp;TEXT($Y$24,"0.00")&amp;","</f>
        <v>totalDefActMin: 0.23,</v>
      </c>
      <c r="E130" t="str">
        <f>"totalDefActMin: "&amp;TEXT($Y$12,"0.00")&amp;","</f>
        <v>totalDefActMin: 0.47,</v>
      </c>
      <c r="F130" t="str">
        <f>"totalDefActMin: "&amp;TEXT($Y$22,"0.00")&amp;","</f>
        <v>totalDefActMin: 0.41,</v>
      </c>
      <c r="G130" t="str">
        <f>"totalDefActMin: "&amp;TEXT($Y$3,"0.00")&amp;","</f>
        <v>totalDefActMin: 0.00,</v>
      </c>
      <c r="H130" t="str">
        <f>"totalDefActMin: "&amp;TEXT($Y$7,"0.00")&amp;","</f>
        <v>totalDefActMin: 0.25,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0.20,</v>
      </c>
      <c r="M130" t="str">
        <f>"totalDefActMin: "&amp;TEXT($Y$21,"0.00")&amp;","</f>
        <v>totalDefActMin: 0.17,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0.06,</v>
      </c>
      <c r="Q130" t="str">
        <f>"totalDefActMin: "&amp;TEXT($Y$10,"0.00")&amp;","</f>
        <v>totalDefActMin: 0.06,</v>
      </c>
      <c r="R130" t="str">
        <f>"totalDefActMin: "&amp;TEXT($Y$2,"0.00")&amp;","</f>
        <v>totalDefActMin: 0.00,</v>
      </c>
      <c r="S130" t="str">
        <f>"totalDefActMin: "&amp;TEXT($Y$19,"0.00")&amp;","</f>
        <v>totalDefActMin: 0.03,</v>
      </c>
      <c r="T130" t="str">
        <f>"totalDefActMin: "&amp;TEXT($Y$17,"0.00")&amp;","</f>
        <v>totalDefActMin: 0.08,</v>
      </c>
      <c r="U130" t="str">
        <f>"totalDefActMin: "&amp;TEXT($Y$18,"0.00")&amp;","</f>
        <v>totalDefActMin: 0.00,</v>
      </c>
      <c r="V130" t="str">
        <f>"totalDefActMin: "&amp;TEXT($Y$16,"0.00")&amp;","</f>
        <v>totalDefActMin: 0.02,</v>
      </c>
      <c r="W130" t="str">
        <f>"totalDefActMin: "&amp;TEXT($Y$6,"0.00")&amp;","</f>
        <v>totalDefActMin: 0.20,</v>
      </c>
    </row>
    <row r="131" spans="1:23" x14ac:dyDescent="0.3">
      <c r="A131" t="str">
        <f>"totalActions: "&amp;$Z$4&amp;","</f>
        <v>totalActions: 21,</v>
      </c>
      <c r="B131" t="str">
        <f t="shared" ref="B131" si="4">"totalActions: "&amp;$Z$4&amp;","</f>
        <v>totalActions: 21,</v>
      </c>
      <c r="C131" t="str">
        <f>"totalActions: "&amp;$Z$9&amp;","</f>
        <v>totalActions: 11,</v>
      </c>
      <c r="D131" t="str">
        <f>"totalActions: "&amp;$Z$24&amp;","</f>
        <v>totalActions: 29,</v>
      </c>
      <c r="E131" t="str">
        <f>"totalActions: "&amp;$Z$12&amp;","</f>
        <v>totalActions: 20,</v>
      </c>
      <c r="F131" t="str">
        <f>"totalActions: "&amp;$Z$22&amp;","</f>
        <v>totalActions: 44,</v>
      </c>
      <c r="G131" t="str">
        <f>"totalActions: "&amp;$Z$3&amp;","</f>
        <v>totalActions: 0,</v>
      </c>
      <c r="H131" t="str">
        <f>"totalActions: "&amp;$Z$7&amp;","</f>
        <v>totalActions: 30,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18,</v>
      </c>
      <c r="M131" t="str">
        <f>"totalActions: "&amp;$Z$21&amp;","</f>
        <v>totalActions: 17,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6,</v>
      </c>
      <c r="Q131" t="str">
        <f>"totalActions: "&amp;$Z$10&amp;","</f>
        <v>totalActions: 15,</v>
      </c>
      <c r="R131" t="str">
        <f>"totalActions: "&amp;$Z$2&amp;","</f>
        <v>totalActions: 0,</v>
      </c>
      <c r="S131" t="str">
        <f>"totalActions: "&amp;$Z$19&amp;","</f>
        <v>totalActions: 5,</v>
      </c>
      <c r="T131" t="str">
        <f>"totalActions: "&amp;$Z$17&amp;","</f>
        <v>totalActions: 17,</v>
      </c>
      <c r="U131" t="str">
        <f>"totalActions: "&amp;$Z$18&amp;","</f>
        <v>totalActions: 0,</v>
      </c>
      <c r="V131" t="str">
        <f>"totalActions: "&amp;$Z$16&amp;","</f>
        <v>totalActions: 7,</v>
      </c>
      <c r="W131" t="str">
        <f>"totalActions: "&amp;$Z$6&amp;","</f>
        <v>totalActions: 1,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class="stat-value-2"&gt;15&lt;/span&gt;&lt;/p&gt;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class="stat-value-2"&gt;4&lt;/span&gt;&lt;/p&gt;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class="stat-value-2"&gt;3&lt;/span&gt;&lt;/p&gt;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class="stat-value-2"&gt;11&lt;/span&gt;&lt;/p&gt;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class="stat-value-2"&gt;5&lt;/span&gt;&lt;/p&gt;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class="stat-value-2"&gt;7&lt;/span&gt;&lt;/p&gt;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class="stat-value-2"&gt;10&lt;/span&gt;&lt;/p&gt;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class="stat-value-2"&gt;4&lt;/span&gt;&lt;/p&gt;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class="stat-value-2"&gt;5&lt;/span&gt;&lt;/p&gt;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class="stat-value-2"&gt;4&lt;/span&gt;&lt;/p&gt;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class="stat-value-2"&gt;10&lt;/span&gt;&lt;/p&gt;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class="stat-value-2"&gt;3&lt;/span&gt;&lt;/p&gt;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class="stat-value-2"&gt;11&lt;/span&gt;&lt;/p&gt;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class="stat-value-2"&gt;6&lt;/span&gt;&lt;/p&gt;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class="stat-value-2"&gt;0.23&lt;/span&gt;&lt;/p&gt;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class="stat-value-2"&gt;0.04&lt;/span&gt;&lt;/p&gt;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class="stat-value-2"&gt;0.12&lt;/span&gt;&lt;/p&gt;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class="stat-value-2"&gt;0.14&lt;/span&gt;&lt;/p&gt;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class="stat-value-2"&gt;0.16&lt;/span&gt;&lt;/p&gt;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class="stat-value-2"&gt;0.08&lt;/span&gt;&lt;/p&gt;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class="stat-value-2"&gt;0.13&lt;/span&gt;&lt;/p&gt;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class="stat-value-2"&gt;0.06&lt;/span&gt;&lt;/p&gt;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class="stat-value-2"&gt;0.07&lt;/span&gt;&lt;/p&gt;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class="stat-value-2"&gt;0.11&lt;/span&gt;&lt;/p&gt;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class="stat-value-2"&gt;0.13&lt;/span&gt;&lt;/p&gt;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class="stat-value-2"&gt;0.05&lt;/span&gt;&lt;/p&gt;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class="stat-value-2"&gt;0.15&lt;/span&gt;&lt;/p&gt;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class="stat-value-2"&gt;0.13&lt;/span&gt;&lt;/p&gt;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class="stat-value-2"&gt;1&lt;/span&gt;&lt;/p&gt;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class="stat-value-2"&gt;2&lt;/span&gt;&lt;/p&gt;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class="stat-value-2"&gt;2&lt;/span&gt;&lt;/p&gt;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class="stat-value-2"&gt;1&lt;/span&gt;&lt;/p&gt;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class="stat-value-2"&gt;6&lt;/span&gt;&lt;/p&gt;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class="stat-value-2"&gt;2&lt;/span&gt;&lt;/p&gt;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class="stat-value-2"&gt;4&lt;/span&gt;&lt;/p&gt;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class="stat-value-2"&gt;6&lt;/span&gt;&lt;/p&gt;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class="stat-value-2"&gt;1&lt;/span&gt;&lt;/p&gt;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class="stat-value-2"&gt;3&lt;/span&gt;&lt;/p&gt;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class="stat-value-2"&gt;1&lt;/span&gt;&lt;/p&gt;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class="stat-value-2"&gt;1&lt;/span&gt;&lt;/p&gt;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class="stat-value-2"&gt;0&lt;/span&gt;&lt;/p&gt;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class="stat-value-2"&gt;0&lt;/span&gt;&lt;/p&gt;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class="stat-value-2"&gt;2&lt;/span&gt;&lt;/p&gt;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class="stat-value-2"&gt;1&lt;/span&gt;&lt;/p&gt;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class="stat-value-2"&gt;1&lt;/span&gt;&lt;/p&gt;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class="stat-value-2"&gt;1&lt;/span&gt;&lt;/p&gt;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class="stat-value-2"&gt;1&lt;/span&gt;&lt;/p&gt;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class="stat-value-2"&gt;1&lt;/span&gt;&lt;/p&gt;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class="stat-value-2"&gt;1&lt;/span&gt;&lt;/p&gt;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class="stat-value-2"&gt;1&lt;/span&gt;&lt;/p&gt;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class="stat-value-2"&gt;2&lt;/span&gt;&lt;/p&gt;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class="stat-value-2"&gt;3&lt;/span&gt;&lt;/p&gt;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class="stat-value-2"&gt;2&lt;/span&gt;&lt;/p&gt;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class="stat-value-2"&gt;2&lt;/span&gt;&lt;/p&gt;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class="stat-value-2"&gt;1&lt;/span&gt;&lt;/p&gt;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class="stat-value-2"&gt;0&lt;/span&gt;&lt;/p&gt;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class="stat-value-2"&gt;1&lt;/span&gt;&lt;/p&gt;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class="stat-value-2"&gt;0&lt;/span&gt;&lt;/p&gt;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class="stat-value-2"&gt;0&lt;/span&gt;&lt;/p&gt;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class="stat-value-2"&gt;2&lt;/span&gt;&lt;/p&gt;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class="stat-value-2"&gt;5&lt;/span&gt;&lt;/p&gt;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class="stat-value-2"&gt;1&lt;/span&gt;&lt;/p&gt;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class="stat-value-2"&gt;1&lt;/span&gt;&lt;/p&gt;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class="stat-value-2"&gt;0&lt;/span&gt;&lt;/p&gt;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class="stat-value-2"&gt;1&lt;/span&gt;&lt;/p&gt;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class="stat-value-2"&gt;1&lt;/span&gt;&lt;/p&gt;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class="stat-value-2"&gt;1&lt;/span&gt;&lt;/p&gt;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class="stat-value-2"&gt;3&lt;/span&gt;&lt;/p&gt;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class="stat-value-2"&gt;2&lt;/span&gt;&lt;/p&gt;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class="stat-value-2"&gt;4&lt;/span&gt;&lt;/p&gt;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class="stat-value-2"&gt;1&lt;/span&gt;&lt;/p&gt;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class="stat-value-2"&gt;4&lt;/span&gt;&lt;/p&gt;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class="stat-value-2"&gt;0&lt;/span&gt;&lt;/p&gt;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class="stat-value-2"&gt;0&lt;/span&gt;&lt;/p&gt;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class="stat-value-2"&gt;2&lt;/span&gt;&lt;/p&gt;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class="stat-value-2"&gt;1&lt;/span&gt;&lt;/p&gt;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class="stat-value-2"&gt;0&lt;/span&gt;&lt;/p&gt;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class="stat-value-2"&gt;5&lt;/span&gt;&lt;/p&gt;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class="stat-value-2"&gt;0&lt;/span&gt;&lt;/p&gt;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class="stat-value-2"&gt;2&lt;/span&gt;&lt;/p&gt;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class="stat-value-2"&gt;2&lt;/span&gt;&lt;/p&gt;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class="stat-value-2"&gt;1&lt;/span&gt;&lt;/p&gt;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class="stat-value-2"&gt;1&lt;/span&gt;&lt;/p&gt;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class="stat-value-2"&gt;1&lt;/span&gt;&lt;/p&gt;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class="stat-value-2"&gt;0&lt;/span&gt;&lt;/p&gt;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class="stat-value-2"&gt;1&lt;/span&gt;&lt;/p&gt;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class="stat-value-2"&gt;1&lt;/span&gt;&lt;/p&gt;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class="stat-value-2"&gt;0&lt;/span&gt;&lt;/p&gt;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class="stat-value-2"&gt;1&lt;/span&gt;&lt;/p&gt;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class="stat-value-2"&gt;0&lt;/span&gt;&lt;/p&gt;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class="stat-value-2"&gt;0&lt;/span&gt;&lt;/p&gt;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class="stat-value-2"&gt;1&lt;/span&gt;&lt;/p&gt;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class="stat-value-2"&gt;1&lt;/span&gt;&lt;/p&gt;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class="stat-value-2"&gt;6&lt;/span&gt;&lt;/p&gt;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class="stat-value-2"&gt;27&lt;/span&gt;&lt;/p&gt;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class="stat-value-2"&gt;8&lt;/span&gt;&lt;/p&gt;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class="stat-value-2"&gt;18&lt;/span&gt;&lt;/p&gt;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class="stat-value-2"&gt;15&lt;/span&gt;&lt;/p&gt;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class="stat-value-2"&gt;37&lt;/span&gt;&lt;/p&gt;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class="stat-value-2"&gt;0&lt;/span&gt;&lt;/p&gt;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class="stat-value-2"&gt;20&lt;/span&gt;&lt;/p&gt;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class="stat-value-2"&gt;14&lt;/span&gt;&lt;/p&gt;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class="stat-value-2"&gt;12&lt;/span&gt;&lt;/p&gt;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class="stat-value-2"&gt;2&lt;/span&gt;&lt;/p&gt;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class="stat-value-2"&gt;5&lt;/span&gt;&lt;/p&gt;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class="stat-value-2"&gt;2&lt;/span&gt;&lt;/p&gt;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class="stat-value-2"&gt;6&lt;/span&gt;&lt;/p&gt;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class="stat-value-2"&gt;1&lt;/span&gt;&lt;/p&gt;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class="stat-value-2"&gt;1&lt;/span&gt;&lt;/p&gt;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class="stat-value-2"&gt;0.09&lt;/span&gt;&lt;/p&gt;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class="stat-value-2"&gt;0.30&lt;/span&gt;&lt;/p&gt;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class="stat-value-2"&gt;0.31&lt;/span&gt;&lt;/p&gt;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class="stat-value-2"&gt;0.23&lt;/span&gt;&lt;/p&gt;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class="stat-value-2"&gt;0.47&lt;/span&gt;&lt;/p&gt;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class="stat-value-2"&gt;0.41&lt;/span&gt;&lt;/p&gt;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class="stat-value-2"&gt;0.25&lt;/span&gt;&lt;/p&gt;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class="stat-value-2"&gt;0.17&lt;/span&gt;&lt;/p&gt;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class="stat-value-2"&gt;0.06&lt;/span&gt;&lt;/p&gt;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class="stat-value-2"&gt;0.06&lt;/span&gt;&lt;/p&gt;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class="stat-value-2"&gt;0.03&lt;/span&gt;&lt;/p&gt;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class="stat-value-2"&gt;0.08&lt;/span&gt;&lt;/p&gt;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class="stat-value-2"&gt;0.02&lt;/span&gt;&lt;/p&gt;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class="stat-value-2"&gt;0.20&lt;/span&gt;&lt;/p&gt;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class="stat-value-2"&gt;1&lt;/span&gt;&lt;/p&gt;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class="stat-value-2"&gt;1&lt;/span&gt;&lt;/p&gt;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class="stat-value-2"&gt;2&lt;/span&gt;&lt;/p&gt;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class="stat-value-2"&gt;5&lt;/span&gt;&lt;/p&gt;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class="stat-value-2"&gt;0&lt;/span&gt;&lt;/p&gt;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class="stat-value-2"&gt;3&lt;/span&gt;&lt;/p&gt;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class="stat-value-2"&gt;0&lt;/span&gt;&lt;/p&gt;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class="stat-value-2"&gt;1&lt;/span&gt;&lt;/p&gt;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class="stat-value-2"&gt;2&lt;/span&gt;&lt;/p&gt;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class="stat-value-2"&gt;0&lt;/span&gt;&lt;/p&gt;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class="stat-value-2"&gt;3&lt;/span&gt;&lt;/p&gt;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class="stat-value-2"&gt;10&lt;/span&gt;&lt;/p&gt;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class="stat-value-2"&gt;4&lt;/span&gt;&lt;/p&gt;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class="stat-value-2"&gt;4&lt;/span&gt;&lt;/p&gt;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class="stat-value-2"&gt;1&lt;/span&gt;&lt;/p&gt;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class="stat-value-2"&gt;11&lt;/span&gt;&lt;/p&gt;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class="stat-value-2"&gt;6&lt;/span&gt;&lt;/p&gt;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class="stat-value-2"&gt;5&lt;/span&gt;&lt;/p&gt;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class="stat-value-2"&gt;6&lt;/span&gt;&lt;/p&gt;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class="stat-value-2"&gt;0&lt;/span&gt;&lt;/p&gt;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class="stat-value-2"&gt;0&lt;/span&gt;&lt;/p&gt;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class="stat-value-2"&gt;0&lt;/span&gt;&lt;/p&gt;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class="stat-value-2"&gt;0&lt;/span&gt;&lt;/p&gt;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class="stat-value-2"&gt;1&lt;/span&gt;&lt;/p&gt;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class="stat-value-2"&gt;0&lt;/span&gt;&lt;/p&gt;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class="stat-value-2"&gt;2&lt;/span&gt;&lt;/p&gt;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class="stat-value-2"&gt;2&lt;/span&gt;&lt;/p&gt;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class="stat-value-2"&gt;3&lt;/span&gt;&lt;/p&gt;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class="stat-value-2"&gt;3&lt;/span&gt;&lt;/p&gt;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class="stat-value-2"&gt;1&lt;/span&gt;&lt;/p&gt;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class="stat-value-2"&gt;4&lt;/span&gt;&lt;/p&gt;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class="stat-value-2"&gt;0&lt;/span&gt;&lt;/p&gt;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class="stat-value-2"&gt;2&lt;/span&gt;&lt;/p&gt;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class="stat-value-2"&gt;0&lt;/span&gt;&lt;/p&gt;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class="stat-value-2"&gt;0&lt;/span&gt;&lt;/p&gt;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class="stat-value-2"&gt;0&lt;/span&gt;&lt;/p&gt;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class="stat-value-2"&gt;2&lt;/span&gt;&lt;/p&gt;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class="stat-value-2"&gt;1&lt;/span&gt;&lt;/p&gt;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class="stat-value-2"&gt;3&lt;/span&gt;&lt;/p&gt;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class="stat-value-2"&gt;1&lt;/span&gt;&lt;/p&gt;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class="stat-value-2"&gt;5&lt;/span&gt;&lt;/p&gt;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class="stat-value-2"&gt;0&lt;/span&gt;&lt;/p&gt;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class="stat-value-2"&gt;1&lt;/span&gt;&lt;/p&gt;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class="stat-value-2"&gt;1&lt;/span&gt;&lt;/p&gt;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class="stat-value-2"&gt;2&lt;/span&gt;&lt;/p&gt;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class="stat-value-2"&gt;1&lt;/span&gt;&lt;/p&gt;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class="stat-value-2"&gt;1&lt;/span&gt;&lt;/p&gt;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class="stat-value-2"&gt;1&lt;/span&gt;&lt;/p&gt;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class="stat-value-2"&gt;1&lt;/span&gt;&lt;/p&gt;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class="stat-value-2"&gt;2&lt;/span&gt;&lt;/p&gt;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class="stat-value-2"&gt;0&lt;/span&gt;&lt;/p&gt;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class="stat-value-2"&gt;1&lt;/span&gt;&lt;/p&gt;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class="stat-value-2"&gt;1&lt;/span&gt;&lt;/p&gt;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class="stat-value-2"&gt;1&lt;/span&gt;&lt;/p&gt;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class="stat-value-2"&gt;0&lt;/span&gt;&lt;/p&gt;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class="stat-value-2"&gt;6&lt;/span&gt;&lt;/p&gt;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class="stat-value-2"&gt;1&lt;/span&gt;&lt;/p&gt;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class="stat-value-2"&gt;5&lt;/span&gt;&lt;/p&gt;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class="stat-value-2"&gt;17&lt;/span&gt;&lt;/p&gt;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class="stat-value-2"&gt;4&lt;/span&gt;&lt;/p&gt;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class="stat-value-2"&gt;3&lt;/span&gt;&lt;/p&gt;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class="stat-value-2"&gt;4&lt;/span&gt;&lt;/p&gt;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class="stat-value-2"&gt;1&lt;/span&gt;&lt;/p&gt;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class="stat-value-2"&gt;2&lt;/span&gt;&lt;/p&gt;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class="stat-value-2"&gt;5&lt;/span&gt;&lt;/p&gt;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class="stat-value-2"&gt;0&lt;/span&gt;&lt;/p&gt;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class="stat-value-2"&gt;3&lt;/span&gt;&lt;/p&gt;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class="stat-value-2"&gt;5&lt;/span&gt;&lt;/p&gt;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class="stat-value-2"&gt;2&lt;/span&gt;&lt;/p&gt;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class="stat-value-2"&gt;0&lt;/span&gt;&lt;/p&gt;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class="stat-value-2"&gt;1&lt;/span&gt;&lt;/p&gt;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class="stat-value-2"&gt;1&lt;/span&gt;&lt;/p&gt;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class="stat-value-2"&gt;2&lt;/span&gt;&lt;/p&gt;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class="stat-value-2"&gt;1&lt;/span&gt;&lt;/p&gt;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class="stat-value-2"&gt;0&lt;/span&gt;&lt;/p&gt;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class="stat-value-2"&gt;1&lt;/span&gt;&lt;/p&gt;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class="stat-value-2"&gt;0&lt;/span&gt;&lt;/p&gt;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BE6F-58EC-4169-AEEB-B9B5E431185B}">
  <dimension ref="A1:AT157"/>
  <sheetViews>
    <sheetView topLeftCell="A90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 s="1">
        <f t="shared" ref="O3:O24" si="0">IFERROR(N3/B3,0)</f>
        <v>0.1111111111111111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 s="1">
        <f t="shared" ref="Y3:Y24" si="1">IFERROR(X3/B3,0)</f>
        <v>0.1111111111111111</v>
      </c>
      <c r="Z3">
        <v>2</v>
      </c>
      <c r="AA3" s="1">
        <f t="shared" ref="AA3:AA24" si="2">IFERROR(Z3/B3,0)</f>
        <v>0.22222222222222221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9&lt;/td&gt;&lt;td&gt;0&lt;/td&gt;&lt;td&gt;0&lt;/td&gt;&lt;td&gt;0&lt;/td&gt;&lt;td&gt;0&lt;/td&gt;&lt;td&gt;0&lt;/td&gt;&lt;td&gt;0&lt;/td&gt;&lt;td&gt;0&lt;/td&gt;&lt;td&gt;0&lt;/td&gt;&lt;td&gt;0&lt;/td&gt;&lt;td&gt;0&lt;/td&gt;&lt;td&gt;1&lt;/td&gt;&lt;td&gt;1&lt;/td&gt;&lt;td&gt;0.11&lt;/td&gt;&lt;td&gt;2&lt;/td&gt;&lt;td&gt;0.22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9&lt;/td&gt;&lt;td&gt;0&lt;/td&gt;&lt;td&gt;0&lt;/td&gt;&lt;td&gt;0&lt;/td&gt;&lt;td&gt;0&lt;/td&gt;&lt;td&gt;0&lt;/td&gt;&lt;td&gt;0&lt;/td&gt;&lt;td&gt;0&lt;/td&gt;&lt;td&gt;1&lt;/td&gt;&lt;td&gt;1&lt;/td&gt;&lt;td&gt;0.11&lt;/td&gt;&lt;td&gt;2&lt;/td&gt;&lt;td&gt;0.22&lt;/td&gt;&lt;/tr&gt;</v>
      </c>
    </row>
    <row r="4" spans="1:46" x14ac:dyDescent="0.3">
      <c r="A4" t="s">
        <v>27</v>
      </c>
      <c r="B4">
        <v>67</v>
      </c>
      <c r="C4">
        <v>0</v>
      </c>
      <c r="D4">
        <v>0</v>
      </c>
      <c r="E4">
        <v>0</v>
      </c>
      <c r="F4">
        <v>2</v>
      </c>
      <c r="G4">
        <v>2</v>
      </c>
      <c r="H4">
        <v>0</v>
      </c>
      <c r="I4">
        <v>1</v>
      </c>
      <c r="J4">
        <v>6</v>
      </c>
      <c r="K4">
        <v>3</v>
      </c>
      <c r="L4">
        <v>3</v>
      </c>
      <c r="M4">
        <v>1</v>
      </c>
      <c r="N4">
        <v>16</v>
      </c>
      <c r="O4" s="1">
        <f t="shared" si="0"/>
        <v>0.23880597014925373</v>
      </c>
      <c r="P4">
        <v>0</v>
      </c>
      <c r="Q4">
        <v>3</v>
      </c>
      <c r="R4">
        <v>1</v>
      </c>
      <c r="S4">
        <v>0</v>
      </c>
      <c r="T4">
        <v>0</v>
      </c>
      <c r="U4">
        <v>0</v>
      </c>
      <c r="V4">
        <v>6</v>
      </c>
      <c r="W4">
        <v>1</v>
      </c>
      <c r="X4">
        <v>11</v>
      </c>
      <c r="Y4" s="1">
        <f t="shared" si="1"/>
        <v>0.16417910447761194</v>
      </c>
      <c r="Z4">
        <v>27</v>
      </c>
      <c r="AA4" s="1">
        <f t="shared" si="2"/>
        <v>0.40298507462686567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67&lt;/td&gt;&lt;td&gt;0&lt;/td&gt;&lt;td&gt;0&lt;/td&gt;&lt;td&gt;0&lt;/td&gt;&lt;td&gt;2&lt;/td&gt;&lt;td&gt;2&lt;/td&gt;&lt;td&gt;0&lt;/td&gt;&lt;td&gt;1&lt;/td&gt;&lt;td&gt;6&lt;/td&gt;&lt;td&gt;3&lt;/td&gt;&lt;td&gt;3&lt;/td&gt;&lt;td&gt;1&lt;/td&gt;&lt;td&gt;16&lt;/td&gt;&lt;td&gt;0.24&lt;/td&gt;&lt;td&gt;27&lt;/td&gt;&lt;td&gt;0.40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67&lt;/td&gt;&lt;td&gt;0&lt;/td&gt;&lt;td&gt;3&lt;/td&gt;&lt;td&gt;1&lt;/td&gt;&lt;td&gt;0&lt;/td&gt;&lt;td&gt;0&lt;/td&gt;&lt;td&gt;0&lt;/td&gt;&lt;td&gt;6&lt;/td&gt;&lt;td&gt;1&lt;/td&gt;&lt;td&gt;11&lt;/td&gt;&lt;td&gt;0.16&lt;/td&gt;&lt;td&gt;27&lt;/td&gt;&lt;td&gt;0.40&lt;/td&gt;&lt;/tr&gt;</v>
      </c>
    </row>
    <row r="5" spans="1:46" x14ac:dyDescent="0.3">
      <c r="A5" t="s">
        <v>28</v>
      </c>
      <c r="B5">
        <v>55</v>
      </c>
      <c r="C5">
        <v>0</v>
      </c>
      <c r="D5">
        <v>0</v>
      </c>
      <c r="E5">
        <v>1</v>
      </c>
      <c r="F5">
        <v>0</v>
      </c>
      <c r="G5">
        <v>0</v>
      </c>
      <c r="H5">
        <v>3</v>
      </c>
      <c r="I5">
        <v>3</v>
      </c>
      <c r="J5">
        <v>1</v>
      </c>
      <c r="K5">
        <v>0</v>
      </c>
      <c r="L5">
        <v>1</v>
      </c>
      <c r="M5">
        <v>0</v>
      </c>
      <c r="N5">
        <v>9</v>
      </c>
      <c r="O5" s="1">
        <f t="shared" si="0"/>
        <v>0.16363636363636364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3</v>
      </c>
      <c r="Y5" s="1">
        <f t="shared" si="1"/>
        <v>5.4545454545454543E-2</v>
      </c>
      <c r="Z5">
        <v>12</v>
      </c>
      <c r="AA5" s="1">
        <f t="shared" si="2"/>
        <v>0.21818181818181817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55&lt;/td&gt;&lt;td&gt;0&lt;/td&gt;&lt;td&gt;0&lt;/td&gt;&lt;td&gt;1&lt;/td&gt;&lt;td&gt;0&lt;/td&gt;&lt;td&gt;0&lt;/td&gt;&lt;td&gt;3&lt;/td&gt;&lt;td&gt;3&lt;/td&gt;&lt;td&gt;1&lt;/td&gt;&lt;td&gt;0&lt;/td&gt;&lt;td&gt;1&lt;/td&gt;&lt;td&gt;0&lt;/td&gt;&lt;td&gt;9&lt;/td&gt;&lt;td&gt;0.16&lt;/td&gt;&lt;td&gt;12&lt;/td&gt;&lt;td&gt;0.22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55&lt;/td&gt;&lt;td&gt;1&lt;/td&gt;&lt;td&gt;1&lt;/td&gt;&lt;td&gt;0&lt;/td&gt;&lt;td&gt;0&lt;/td&gt;&lt;td&gt;0&lt;/td&gt;&lt;td&gt;0&lt;/td&gt;&lt;td&gt;0&lt;/td&gt;&lt;td&gt;1&lt;/td&gt;&lt;td&gt;3&lt;/td&gt;&lt;td&gt;0.05&lt;/td&gt;&lt;td&gt;12&lt;/td&gt;&lt;td&gt;0.22&lt;/td&gt;&lt;/tr&gt;</v>
      </c>
    </row>
    <row r="6" spans="1:46" x14ac:dyDescent="0.3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" spans="1:46" x14ac:dyDescent="0.3">
      <c r="A7" t="s">
        <v>30</v>
      </c>
      <c r="B7">
        <v>90</v>
      </c>
      <c r="C7">
        <v>0</v>
      </c>
      <c r="D7">
        <v>0</v>
      </c>
      <c r="E7">
        <v>0</v>
      </c>
      <c r="F7">
        <v>6</v>
      </c>
      <c r="G7">
        <v>0</v>
      </c>
      <c r="H7">
        <v>3</v>
      </c>
      <c r="I7">
        <v>4</v>
      </c>
      <c r="J7">
        <v>1</v>
      </c>
      <c r="K7">
        <v>0</v>
      </c>
      <c r="L7">
        <v>2</v>
      </c>
      <c r="M7">
        <v>0</v>
      </c>
      <c r="N7">
        <v>16</v>
      </c>
      <c r="O7" s="1">
        <f t="shared" si="0"/>
        <v>0.17777777777777778</v>
      </c>
      <c r="P7">
        <v>5</v>
      </c>
      <c r="Q7">
        <v>5</v>
      </c>
      <c r="R7">
        <v>1</v>
      </c>
      <c r="S7">
        <v>4</v>
      </c>
      <c r="T7">
        <v>2</v>
      </c>
      <c r="U7">
        <v>0</v>
      </c>
      <c r="V7">
        <v>8</v>
      </c>
      <c r="W7">
        <v>3</v>
      </c>
      <c r="X7">
        <v>28</v>
      </c>
      <c r="Y7" s="1">
        <f t="shared" si="1"/>
        <v>0.31111111111111112</v>
      </c>
      <c r="Z7">
        <v>44</v>
      </c>
      <c r="AA7" s="1">
        <f t="shared" si="2"/>
        <v>0.48888888888888887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90&lt;/td&gt;&lt;td&gt;0&lt;/td&gt;&lt;td&gt;0&lt;/td&gt;&lt;td&gt;0&lt;/td&gt;&lt;td&gt;6&lt;/td&gt;&lt;td&gt;0&lt;/td&gt;&lt;td&gt;3&lt;/td&gt;&lt;td&gt;4&lt;/td&gt;&lt;td&gt;1&lt;/td&gt;&lt;td&gt;0&lt;/td&gt;&lt;td&gt;2&lt;/td&gt;&lt;td&gt;0&lt;/td&gt;&lt;td&gt;16&lt;/td&gt;&lt;td&gt;0.18&lt;/td&gt;&lt;td&gt;44&lt;/td&gt;&lt;td&gt;0.49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90&lt;/td&gt;&lt;td&gt;5&lt;/td&gt;&lt;td&gt;5&lt;/td&gt;&lt;td&gt;1&lt;/td&gt;&lt;td&gt;4&lt;/td&gt;&lt;td&gt;2&lt;/td&gt;&lt;td&gt;0&lt;/td&gt;&lt;td&gt;8&lt;/td&gt;&lt;td&gt;3&lt;/td&gt;&lt;td&gt;28&lt;/td&gt;&lt;td&gt;0.31&lt;/td&gt;&lt;td&gt;44&lt;/td&gt;&lt;td&gt;0.49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50</v>
      </c>
      <c r="C9">
        <v>0</v>
      </c>
      <c r="D9">
        <v>0</v>
      </c>
      <c r="E9">
        <v>0</v>
      </c>
      <c r="F9">
        <v>3</v>
      </c>
      <c r="G9">
        <v>0</v>
      </c>
      <c r="H9">
        <v>1</v>
      </c>
      <c r="I9">
        <v>4</v>
      </c>
      <c r="J9">
        <v>1</v>
      </c>
      <c r="K9">
        <v>2</v>
      </c>
      <c r="L9">
        <v>0</v>
      </c>
      <c r="M9">
        <v>1</v>
      </c>
      <c r="N9">
        <v>12</v>
      </c>
      <c r="O9" s="1">
        <f t="shared" si="0"/>
        <v>0.24</v>
      </c>
      <c r="P9">
        <v>0</v>
      </c>
      <c r="Q9">
        <v>1</v>
      </c>
      <c r="R9">
        <v>2</v>
      </c>
      <c r="S9">
        <v>0</v>
      </c>
      <c r="T9">
        <v>0</v>
      </c>
      <c r="U9">
        <v>0</v>
      </c>
      <c r="V9">
        <v>1</v>
      </c>
      <c r="W9">
        <v>3</v>
      </c>
      <c r="X9">
        <v>7</v>
      </c>
      <c r="Y9" s="1">
        <f t="shared" si="1"/>
        <v>0.14000000000000001</v>
      </c>
      <c r="Z9">
        <v>19</v>
      </c>
      <c r="AA9" s="1">
        <f t="shared" si="2"/>
        <v>0.38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50&lt;/td&gt;&lt;td&gt;0&lt;/td&gt;&lt;td&gt;0&lt;/td&gt;&lt;td&gt;0&lt;/td&gt;&lt;td&gt;3&lt;/td&gt;&lt;td&gt;0&lt;/td&gt;&lt;td&gt;1&lt;/td&gt;&lt;td&gt;4&lt;/td&gt;&lt;td&gt;1&lt;/td&gt;&lt;td&gt;2&lt;/td&gt;&lt;td&gt;0&lt;/td&gt;&lt;td&gt;1&lt;/td&gt;&lt;td&gt;12&lt;/td&gt;&lt;td&gt;0.24&lt;/td&gt;&lt;td&gt;19&lt;/td&gt;&lt;td&gt;0.38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50&lt;/td&gt;&lt;td&gt;0&lt;/td&gt;&lt;td&gt;1&lt;/td&gt;&lt;td&gt;2&lt;/td&gt;&lt;td&gt;0&lt;/td&gt;&lt;td&gt;0&lt;/td&gt;&lt;td&gt;0&lt;/td&gt;&lt;td&gt;1&lt;/td&gt;&lt;td&gt;3&lt;/td&gt;&lt;td&gt;7&lt;/td&gt;&lt;td&gt;0.14&lt;/td&gt;&lt;td&gt;19&lt;/td&gt;&lt;td&gt;0.38&lt;/td&gt;&lt;/tr&gt;</v>
      </c>
    </row>
    <row r="10" spans="1:46" x14ac:dyDescent="0.3">
      <c r="A10" t="s">
        <v>33</v>
      </c>
      <c r="B10">
        <v>78</v>
      </c>
      <c r="C10">
        <v>0</v>
      </c>
      <c r="D10">
        <v>0</v>
      </c>
      <c r="E10">
        <v>1</v>
      </c>
      <c r="F10">
        <v>1</v>
      </c>
      <c r="G10">
        <v>1</v>
      </c>
      <c r="H10">
        <v>3</v>
      </c>
      <c r="I10">
        <v>1</v>
      </c>
      <c r="J10">
        <v>0</v>
      </c>
      <c r="K10">
        <v>2</v>
      </c>
      <c r="L10">
        <v>2</v>
      </c>
      <c r="M10">
        <v>0</v>
      </c>
      <c r="N10">
        <v>10</v>
      </c>
      <c r="O10" s="1">
        <f t="shared" si="0"/>
        <v>0.12820512820512819</v>
      </c>
      <c r="P10">
        <v>2</v>
      </c>
      <c r="Q10">
        <v>1</v>
      </c>
      <c r="R10">
        <v>3</v>
      </c>
      <c r="S10">
        <v>0</v>
      </c>
      <c r="T10">
        <v>0</v>
      </c>
      <c r="U10">
        <v>0</v>
      </c>
      <c r="V10">
        <v>0</v>
      </c>
      <c r="W10">
        <v>2</v>
      </c>
      <c r="X10">
        <v>8</v>
      </c>
      <c r="Y10" s="1">
        <f t="shared" si="1"/>
        <v>0.10256410256410256</v>
      </c>
      <c r="Z10">
        <v>18</v>
      </c>
      <c r="AA10" s="1">
        <f t="shared" si="2"/>
        <v>0.23076923076923078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78&lt;/td&gt;&lt;td&gt;0&lt;/td&gt;&lt;td&gt;0&lt;/td&gt;&lt;td&gt;1&lt;/td&gt;&lt;td&gt;1&lt;/td&gt;&lt;td&gt;1&lt;/td&gt;&lt;td&gt;3&lt;/td&gt;&lt;td&gt;1&lt;/td&gt;&lt;td&gt;0&lt;/td&gt;&lt;td&gt;2&lt;/td&gt;&lt;td&gt;2&lt;/td&gt;&lt;td&gt;0&lt;/td&gt;&lt;td&gt;10&lt;/td&gt;&lt;td&gt;0.13&lt;/td&gt;&lt;td&gt;18&lt;/td&gt;&lt;td&gt;0.23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78&lt;/td&gt;&lt;td&gt;2&lt;/td&gt;&lt;td&gt;1&lt;/td&gt;&lt;td&gt;3&lt;/td&gt;&lt;td&gt;0&lt;/td&gt;&lt;td&gt;0&lt;/td&gt;&lt;td&gt;0&lt;/td&gt;&lt;td&gt;0&lt;/td&gt;&lt;td&gt;2&lt;/td&gt;&lt;td&gt;8&lt;/td&gt;&lt;td&gt;0.10&lt;/td&gt;&lt;td&gt;18&lt;/td&gt;&lt;td&gt;0.23&lt;/td&gt;&lt;/tr&gt;</v>
      </c>
    </row>
    <row r="11" spans="1:46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37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4</v>
      </c>
      <c r="O12" s="1">
        <f t="shared" si="0"/>
        <v>0.10810810810810811</v>
      </c>
      <c r="P12">
        <v>3</v>
      </c>
      <c r="Q12">
        <v>0</v>
      </c>
      <c r="R12">
        <v>3</v>
      </c>
      <c r="S12">
        <v>0</v>
      </c>
      <c r="T12">
        <v>0</v>
      </c>
      <c r="U12">
        <v>1</v>
      </c>
      <c r="V12">
        <v>1</v>
      </c>
      <c r="W12">
        <v>1</v>
      </c>
      <c r="X12">
        <v>9</v>
      </c>
      <c r="Y12" s="1">
        <f t="shared" si="1"/>
        <v>0.24324324324324326</v>
      </c>
      <c r="Z12">
        <v>13</v>
      </c>
      <c r="AA12" s="1">
        <f t="shared" si="2"/>
        <v>0.35135135135135137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37&lt;/td&gt;&lt;td&gt;0&lt;/td&gt;&lt;td&gt;0&lt;/td&gt;&lt;td&gt;0&lt;/td&gt;&lt;td&gt;3&lt;/td&gt;&lt;td&gt;0&lt;/td&gt;&lt;td&gt;0&lt;/td&gt;&lt;td&gt;1&lt;/td&gt;&lt;td&gt;0&lt;/td&gt;&lt;td&gt;0&lt;/td&gt;&lt;td&gt;0&lt;/td&gt;&lt;td&gt;0&lt;/td&gt;&lt;td&gt;4&lt;/td&gt;&lt;td&gt;0.11&lt;/td&gt;&lt;td&gt;13&lt;/td&gt;&lt;td&gt;0.35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37&lt;/td&gt;&lt;td&gt;3&lt;/td&gt;&lt;td&gt;0&lt;/td&gt;&lt;td&gt;3&lt;/td&gt;&lt;td&gt;0&lt;/td&gt;&lt;td&gt;0&lt;/td&gt;&lt;td&gt;1&lt;/td&gt;&lt;td&gt;1&lt;/td&gt;&lt;td&gt;1&lt;/td&gt;&lt;td&gt;9&lt;/td&gt;&lt;td&gt;0.24&lt;/td&gt;&lt;td&gt;13&lt;/td&gt;&lt;td&gt;0.35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">
        <f t="shared" si="0"/>
        <v>0</v>
      </c>
      <c r="P14">
        <v>0</v>
      </c>
      <c r="Q14">
        <v>2</v>
      </c>
      <c r="R14">
        <v>1</v>
      </c>
      <c r="S14">
        <v>0</v>
      </c>
      <c r="T14">
        <v>2</v>
      </c>
      <c r="U14">
        <v>0</v>
      </c>
      <c r="V14">
        <v>3</v>
      </c>
      <c r="W14">
        <v>1</v>
      </c>
      <c r="X14">
        <v>9</v>
      </c>
      <c r="Y14" s="1">
        <f t="shared" si="1"/>
        <v>0.22500000000000001</v>
      </c>
      <c r="Z14">
        <v>9</v>
      </c>
      <c r="AA14" s="1">
        <f t="shared" si="2"/>
        <v>0.22500000000000001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40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9&lt;/td&gt;&lt;td&gt;0.23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40&lt;/td&gt;&lt;td&gt;0&lt;/td&gt;&lt;td&gt;2&lt;/td&gt;&lt;td&gt;1&lt;/td&gt;&lt;td&gt;0&lt;/td&gt;&lt;td&gt;2&lt;/td&gt;&lt;td&gt;0&lt;/td&gt;&lt;td&gt;3&lt;/td&gt;&lt;td&gt;1&lt;/td&gt;&lt;td&gt;9&lt;/td&gt;&lt;td&gt;0.23&lt;/td&gt;&lt;td&gt;9&lt;/td&gt;&lt;td&gt;0.23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4</v>
      </c>
      <c r="O15" s="1">
        <f t="shared" si="0"/>
        <v>4.4444444444444446E-2</v>
      </c>
      <c r="P15">
        <v>1</v>
      </c>
      <c r="Q15">
        <v>5</v>
      </c>
      <c r="R15">
        <v>4</v>
      </c>
      <c r="S15">
        <v>1</v>
      </c>
      <c r="T15">
        <v>0</v>
      </c>
      <c r="U15">
        <v>0</v>
      </c>
      <c r="V15">
        <v>5</v>
      </c>
      <c r="W15">
        <v>8</v>
      </c>
      <c r="X15">
        <v>24</v>
      </c>
      <c r="Y15" s="1">
        <f t="shared" si="1"/>
        <v>0.26666666666666666</v>
      </c>
      <c r="Z15">
        <v>28</v>
      </c>
      <c r="AA15" s="1">
        <f t="shared" si="2"/>
        <v>0.31111111111111112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3&lt;/td&gt;&lt;td&gt;0&lt;/td&gt;&lt;td&gt;0&lt;/td&gt;&lt;td&gt;0&lt;/td&gt;&lt;td&gt;1&lt;/td&gt;&lt;td&gt;0&lt;/td&gt;&lt;td&gt;0&lt;/td&gt;&lt;td&gt;0&lt;/td&gt;&lt;td&gt;4&lt;/td&gt;&lt;td&gt;0.04&lt;/td&gt;&lt;td&gt;28&lt;/td&gt;&lt;td&gt;0.31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1&lt;/td&gt;&lt;td&gt;5&lt;/td&gt;&lt;td&gt;4&lt;/td&gt;&lt;td&gt;1&lt;/td&gt;&lt;td&gt;0&lt;/td&gt;&lt;td&gt;0&lt;/td&gt;&lt;td&gt;5&lt;/td&gt;&lt;td&gt;8&lt;/td&gt;&lt;td&gt;24&lt;/td&gt;&lt;td&gt;0.27&lt;/td&gt;&lt;td&gt;28&lt;/td&gt;&lt;td&gt;0.31&lt;/td&gt;&lt;/tr&gt;</v>
      </c>
    </row>
    <row r="16" spans="1:46" x14ac:dyDescent="0.3">
      <c r="A16" t="s">
        <v>39</v>
      </c>
      <c r="B16">
        <v>50</v>
      </c>
      <c r="C16">
        <v>0</v>
      </c>
      <c r="D16">
        <v>0</v>
      </c>
      <c r="E16">
        <v>0</v>
      </c>
      <c r="F16">
        <v>3</v>
      </c>
      <c r="G16">
        <v>0</v>
      </c>
      <c r="H16">
        <v>0</v>
      </c>
      <c r="I16">
        <v>1</v>
      </c>
      <c r="J16">
        <v>5</v>
      </c>
      <c r="K16">
        <v>3</v>
      </c>
      <c r="L16">
        <v>0</v>
      </c>
      <c r="M16">
        <v>0</v>
      </c>
      <c r="N16">
        <v>12</v>
      </c>
      <c r="O16" s="1">
        <f t="shared" si="0"/>
        <v>0.24</v>
      </c>
      <c r="P16">
        <v>1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2</v>
      </c>
      <c r="X16">
        <v>5</v>
      </c>
      <c r="Y16" s="1">
        <f t="shared" si="1"/>
        <v>0.1</v>
      </c>
      <c r="Z16">
        <v>17</v>
      </c>
      <c r="AA16" s="1">
        <f t="shared" si="2"/>
        <v>0.34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50&lt;/td&gt;&lt;td&gt;0&lt;/td&gt;&lt;td&gt;0&lt;/td&gt;&lt;td&gt;0&lt;/td&gt;&lt;td&gt;3&lt;/td&gt;&lt;td&gt;0&lt;/td&gt;&lt;td&gt;0&lt;/td&gt;&lt;td&gt;1&lt;/td&gt;&lt;td&gt;5&lt;/td&gt;&lt;td&gt;3&lt;/td&gt;&lt;td&gt;0&lt;/td&gt;&lt;td&gt;0&lt;/td&gt;&lt;td&gt;12&lt;/td&gt;&lt;td&gt;0.24&lt;/td&gt;&lt;td&gt;17&lt;/td&gt;&lt;td&gt;0.34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50&lt;/td&gt;&lt;td&gt;1&lt;/td&gt;&lt;td&gt;0&lt;/td&gt;&lt;td&gt;2&lt;/td&gt;&lt;td&gt;0&lt;/td&gt;&lt;td&gt;0&lt;/td&gt;&lt;td&gt;0&lt;/td&gt;&lt;td&gt;0&lt;/td&gt;&lt;td&gt;2&lt;/td&gt;&lt;td&gt;5&lt;/td&gt;&lt;td&gt;0.10&lt;/td&gt;&lt;td&gt;17&lt;/td&gt;&lt;td&gt;0.34&lt;/td&gt;&lt;/tr&gt;</v>
      </c>
    </row>
    <row r="17" spans="1:46" x14ac:dyDescent="0.3">
      <c r="A17" t="s">
        <v>40</v>
      </c>
      <c r="B17">
        <v>40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3</v>
      </c>
      <c r="O17" s="1">
        <f t="shared" si="0"/>
        <v>7.4999999999999997E-2</v>
      </c>
      <c r="P17">
        <v>0</v>
      </c>
      <c r="Q17">
        <v>1</v>
      </c>
      <c r="R17">
        <v>3</v>
      </c>
      <c r="S17">
        <v>0</v>
      </c>
      <c r="T17">
        <v>1</v>
      </c>
      <c r="U17">
        <v>0</v>
      </c>
      <c r="V17">
        <v>0</v>
      </c>
      <c r="W17">
        <v>2</v>
      </c>
      <c r="X17">
        <v>7</v>
      </c>
      <c r="Y17" s="1">
        <f t="shared" si="1"/>
        <v>0.17499999999999999</v>
      </c>
      <c r="Z17">
        <v>10</v>
      </c>
      <c r="AA17" s="1">
        <f t="shared" si="2"/>
        <v>0.25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40&lt;/td&gt;&lt;td&gt;0&lt;/td&gt;&lt;td&gt;0&lt;/td&gt;&lt;td&gt;0&lt;/td&gt;&lt;td&gt;1&lt;/td&gt;&lt;td&gt;0&lt;/td&gt;&lt;td&gt;1&lt;/td&gt;&lt;td&gt;0&lt;/td&gt;&lt;td&gt;0&lt;/td&gt;&lt;td&gt;0&lt;/td&gt;&lt;td&gt;1&lt;/td&gt;&lt;td&gt;0&lt;/td&gt;&lt;td&gt;3&lt;/td&gt;&lt;td&gt;0.08&lt;/td&gt;&lt;td&gt;10&lt;/td&gt;&lt;td&gt;0.25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40&lt;/td&gt;&lt;td&gt;0&lt;/td&gt;&lt;td&gt;1&lt;/td&gt;&lt;td&gt;3&lt;/td&gt;&lt;td&gt;0&lt;/td&gt;&lt;td&gt;1&lt;/td&gt;&lt;td&gt;0&lt;/td&gt;&lt;td&gt;0&lt;/td&gt;&lt;td&gt;2&lt;/td&gt;&lt;td&gt;7&lt;/td&gt;&lt;td&gt;0.18&lt;/td&gt;&lt;td&gt;10&lt;/td&gt;&lt;td&gt;0.25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61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3</v>
      </c>
      <c r="N19">
        <v>5</v>
      </c>
      <c r="O19" s="1">
        <f t="shared" si="0"/>
        <v>8.1967213114754092E-2</v>
      </c>
      <c r="P19">
        <v>2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2</v>
      </c>
      <c r="X19">
        <v>6</v>
      </c>
      <c r="Y19" s="1">
        <f t="shared" si="1"/>
        <v>9.8360655737704916E-2</v>
      </c>
      <c r="Z19">
        <v>11</v>
      </c>
      <c r="AA19" s="1">
        <f t="shared" si="2"/>
        <v>0.18032786885245902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61&lt;/td&gt;&lt;td&gt;0&lt;/td&gt;&lt;td&gt;0&lt;/td&gt;&lt;td&gt;0&lt;/td&gt;&lt;td&gt;1&lt;/td&gt;&lt;td&gt;0&lt;/td&gt;&lt;td&gt;0&lt;/td&gt;&lt;td&gt;0&lt;/td&gt;&lt;td&gt;0&lt;/td&gt;&lt;td&gt;1&lt;/td&gt;&lt;td&gt;0&lt;/td&gt;&lt;td&gt;3&lt;/td&gt;&lt;td&gt;5&lt;/td&gt;&lt;td&gt;0.08&lt;/td&gt;&lt;td&gt;11&lt;/td&gt;&lt;td&gt;0.18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61&lt;/td&gt;&lt;td&gt;2&lt;/td&gt;&lt;td&gt;1&lt;/td&gt;&lt;td&gt;1&lt;/td&gt;&lt;td&gt;0&lt;/td&gt;&lt;td&gt;0&lt;/td&gt;&lt;td&gt;0&lt;/td&gt;&lt;td&gt;0&lt;/td&gt;&lt;td&gt;2&lt;/td&gt;&lt;td&gt;6&lt;/td&gt;&lt;td&gt;0.10&lt;/td&gt;&lt;td&gt;11&lt;/td&gt;&lt;td&gt;0.18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83</v>
      </c>
      <c r="C21">
        <v>0</v>
      </c>
      <c r="D21">
        <v>0</v>
      </c>
      <c r="E21">
        <v>1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</v>
      </c>
      <c r="O21" s="1">
        <f t="shared" si="0"/>
        <v>4.8192771084337352E-2</v>
      </c>
      <c r="P21">
        <v>2</v>
      </c>
      <c r="Q21">
        <v>3</v>
      </c>
      <c r="R21">
        <v>2</v>
      </c>
      <c r="S21">
        <v>1</v>
      </c>
      <c r="T21">
        <v>0</v>
      </c>
      <c r="U21">
        <v>1</v>
      </c>
      <c r="V21">
        <v>6</v>
      </c>
      <c r="W21">
        <v>4</v>
      </c>
      <c r="X21">
        <v>19</v>
      </c>
      <c r="Y21" s="1">
        <f t="shared" si="1"/>
        <v>0.2289156626506024</v>
      </c>
      <c r="Z21">
        <v>23</v>
      </c>
      <c r="AA21" s="1">
        <f t="shared" si="2"/>
        <v>0.27710843373493976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83&lt;/td&gt;&lt;td&gt;0&lt;/td&gt;&lt;td&gt;0&lt;/td&gt;&lt;td&gt;1&lt;/td&gt;&lt;td&gt;3&lt;/td&gt;&lt;td&gt;0&lt;/td&gt;&lt;td&gt;0&lt;/td&gt;&lt;td&gt;0&lt;/td&gt;&lt;td&gt;0&lt;/td&gt;&lt;td&gt;0&lt;/td&gt;&lt;td&gt;0&lt;/td&gt;&lt;td&gt;0&lt;/td&gt;&lt;td&gt;4&lt;/td&gt;&lt;td&gt;0.05&lt;/td&gt;&lt;td&gt;23&lt;/td&gt;&lt;td&gt;0.28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83&lt;/td&gt;&lt;td&gt;2&lt;/td&gt;&lt;td&gt;3&lt;/td&gt;&lt;td&gt;2&lt;/td&gt;&lt;td&gt;1&lt;/td&gt;&lt;td&gt;0&lt;/td&gt;&lt;td&gt;1&lt;/td&gt;&lt;td&gt;6&lt;/td&gt;&lt;td&gt;4&lt;/td&gt;&lt;td&gt;19&lt;/td&gt;&lt;td&gt;0.23&lt;/td&gt;&lt;td&gt;23&lt;/td&gt;&lt;td&gt;0.28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2</v>
      </c>
      <c r="K22">
        <v>1</v>
      </c>
      <c r="L22">
        <v>2</v>
      </c>
      <c r="M22">
        <v>0</v>
      </c>
      <c r="N22">
        <v>8</v>
      </c>
      <c r="O22" s="1">
        <f t="shared" si="0"/>
        <v>8.8888888888888892E-2</v>
      </c>
      <c r="P22">
        <v>3</v>
      </c>
      <c r="Q22">
        <v>3</v>
      </c>
      <c r="R22">
        <v>4</v>
      </c>
      <c r="S22">
        <v>0</v>
      </c>
      <c r="T22">
        <v>1</v>
      </c>
      <c r="U22">
        <v>1</v>
      </c>
      <c r="V22">
        <v>21</v>
      </c>
      <c r="W22">
        <v>4</v>
      </c>
      <c r="X22">
        <v>37</v>
      </c>
      <c r="Y22" s="1">
        <f t="shared" si="1"/>
        <v>0.41111111111111109</v>
      </c>
      <c r="Z22">
        <v>45</v>
      </c>
      <c r="AA22" s="1">
        <f t="shared" si="2"/>
        <v>0.5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3&lt;/td&gt;&lt;td&gt;0&lt;/td&gt;&lt;td&gt;0&lt;/td&gt;&lt;td&gt;0&lt;/td&gt;&lt;td&gt;2&lt;/td&gt;&lt;td&gt;1&lt;/td&gt;&lt;td&gt;2&lt;/td&gt;&lt;td&gt;0&lt;/td&gt;&lt;td&gt;8&lt;/td&gt;&lt;td&gt;0.09&lt;/td&gt;&lt;td&gt;45&lt;/td&gt;&lt;td&gt;0.50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3&lt;/td&gt;&lt;td&gt;3&lt;/td&gt;&lt;td&gt;4&lt;/td&gt;&lt;td&gt;0&lt;/td&gt;&lt;td&gt;1&lt;/td&gt;&lt;td&gt;1&lt;/td&gt;&lt;td&gt;21&lt;/td&gt;&lt;td&gt;4&lt;/td&gt;&lt;td&gt;37&lt;/td&gt;&lt;td&gt;0.41&lt;/td&gt;&lt;td&gt;45&lt;/td&gt;&lt;td&gt;0.50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75</v>
      </c>
      <c r="C24">
        <v>0</v>
      </c>
      <c r="D24">
        <v>0</v>
      </c>
      <c r="E24">
        <v>1</v>
      </c>
      <c r="F24">
        <v>7</v>
      </c>
      <c r="G24">
        <v>2</v>
      </c>
      <c r="H24">
        <v>0</v>
      </c>
      <c r="I24">
        <v>4</v>
      </c>
      <c r="J24">
        <v>1</v>
      </c>
      <c r="K24">
        <v>0</v>
      </c>
      <c r="L24">
        <v>1</v>
      </c>
      <c r="M24">
        <v>1</v>
      </c>
      <c r="N24">
        <v>15</v>
      </c>
      <c r="O24" s="1">
        <f t="shared" si="0"/>
        <v>0.2</v>
      </c>
      <c r="P24">
        <v>5</v>
      </c>
      <c r="Q24">
        <v>2</v>
      </c>
      <c r="R24">
        <v>4</v>
      </c>
      <c r="S24">
        <v>0</v>
      </c>
      <c r="T24">
        <v>2</v>
      </c>
      <c r="U24">
        <v>3</v>
      </c>
      <c r="V24">
        <v>5</v>
      </c>
      <c r="W24">
        <v>2</v>
      </c>
      <c r="X24">
        <v>23</v>
      </c>
      <c r="Y24" s="1">
        <f t="shared" si="1"/>
        <v>0.30666666666666664</v>
      </c>
      <c r="Z24">
        <v>38</v>
      </c>
      <c r="AA24" s="1">
        <f t="shared" si="2"/>
        <v>0.50666666666666671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75&lt;/td&gt;&lt;td&gt;0&lt;/td&gt;&lt;td&gt;0&lt;/td&gt;&lt;td&gt;1&lt;/td&gt;&lt;td&gt;7&lt;/td&gt;&lt;td&gt;2&lt;/td&gt;&lt;td&gt;0&lt;/td&gt;&lt;td&gt;4&lt;/td&gt;&lt;td&gt;1&lt;/td&gt;&lt;td&gt;0&lt;/td&gt;&lt;td&gt;1&lt;/td&gt;&lt;td&gt;1&lt;/td&gt;&lt;td&gt;15&lt;/td&gt;&lt;td&gt;0.20&lt;/td&gt;&lt;td&gt;38&lt;/td&gt;&lt;td&gt;0.51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75&lt;/td&gt;&lt;td&gt;5&lt;/td&gt;&lt;td&gt;2&lt;/td&gt;&lt;td&gt;4&lt;/td&gt;&lt;td&gt;0&lt;/td&gt;&lt;td&gt;2&lt;/td&gt;&lt;td&gt;3&lt;/td&gt;&lt;td&gt;5&lt;/td&gt;&lt;td&gt;2&lt;/td&gt;&lt;td&gt;23&lt;/td&gt;&lt;td&gt;0.31&lt;/td&gt;&lt;td&gt;38&lt;/td&gt;&lt;td&gt;0.51&lt;/td&gt;&lt;/tr&gt;</v>
      </c>
    </row>
    <row r="26" spans="1:46" x14ac:dyDescent="0.3">
      <c r="A26" t="str">
        <f>AC4</f>
        <v>&lt;tr&gt;&lt;td&gt;Makovicka&lt;/td&gt;&lt;td&gt;67&lt;/td&gt;&lt;td&gt;0&lt;/td&gt;&lt;td&gt;0&lt;/td&gt;&lt;td&gt;0&lt;/td&gt;&lt;td&gt;2&lt;/td&gt;&lt;td&gt;2&lt;/td&gt;&lt;td&gt;0&lt;/td&gt;&lt;td&gt;1&lt;/td&gt;&lt;td&gt;6&lt;/td&gt;&lt;td&gt;3&lt;/td&gt;&lt;td&gt;3&lt;/td&gt;&lt;td&gt;1&lt;/td&gt;&lt;td&gt;16&lt;/td&gt;&lt;td&gt;0.24&lt;/td&gt;&lt;td&gt;27&lt;/td&gt;&lt;td&gt;0.40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3&lt;/td&gt;&lt;td&gt;0&lt;/td&gt;&lt;td&gt;0&lt;/td&gt;&lt;td&gt;0&lt;/td&gt;&lt;td&gt;1&lt;/td&gt;&lt;td&gt;0&lt;/td&gt;&lt;td&gt;0&lt;/td&gt;&lt;td&gt;0&lt;/td&gt;&lt;td&gt;4&lt;/td&gt;&lt;td&gt;0.04&lt;/td&gt;&lt;td&gt;28&lt;/td&gt;&lt;td&gt;0.31&lt;/td&gt;&lt;/tr&gt;</v>
      </c>
    </row>
    <row r="28" spans="1:46" x14ac:dyDescent="0.3">
      <c r="A28" t="str">
        <f>AC9</f>
        <v>&lt;tr&gt;&lt;td&gt;Guyott&lt;/td&gt;&lt;td&gt;50&lt;/td&gt;&lt;td&gt;0&lt;/td&gt;&lt;td&gt;0&lt;/td&gt;&lt;td&gt;0&lt;/td&gt;&lt;td&gt;3&lt;/td&gt;&lt;td&gt;0&lt;/td&gt;&lt;td&gt;1&lt;/td&gt;&lt;td&gt;4&lt;/td&gt;&lt;td&gt;1&lt;/td&gt;&lt;td&gt;2&lt;/td&gt;&lt;td&gt;0&lt;/td&gt;&lt;td&gt;1&lt;/td&gt;&lt;td&gt;12&lt;/td&gt;&lt;td&gt;0.24&lt;/td&gt;&lt;td&gt;19&lt;/td&gt;&lt;td&gt;0.38&lt;/td&gt;&lt;/tr&gt;</v>
      </c>
    </row>
    <row r="29" spans="1:46" x14ac:dyDescent="0.3">
      <c r="A29" t="str">
        <f>AC24</f>
        <v>&lt;tr&gt;&lt;td&gt;Sant&lt;/td&gt;&lt;td&gt;75&lt;/td&gt;&lt;td&gt;0&lt;/td&gt;&lt;td&gt;0&lt;/td&gt;&lt;td&gt;1&lt;/td&gt;&lt;td&gt;7&lt;/td&gt;&lt;td&gt;2&lt;/td&gt;&lt;td&gt;0&lt;/td&gt;&lt;td&gt;4&lt;/td&gt;&lt;td&gt;1&lt;/td&gt;&lt;td&gt;0&lt;/td&gt;&lt;td&gt;1&lt;/td&gt;&lt;td&gt;1&lt;/td&gt;&lt;td&gt;15&lt;/td&gt;&lt;td&gt;0.20&lt;/td&gt;&lt;td&gt;38&lt;/td&gt;&lt;td&gt;0.51&lt;/td&gt;&lt;/tr&gt;</v>
      </c>
    </row>
    <row r="30" spans="1:46" x14ac:dyDescent="0.3">
      <c r="A30" t="str">
        <f>AC12</f>
        <v>&lt;tr&gt;&lt;td&gt;Reda&lt;/td&gt;&lt;td&gt;37&lt;/td&gt;&lt;td&gt;0&lt;/td&gt;&lt;td&gt;0&lt;/td&gt;&lt;td&gt;0&lt;/td&gt;&lt;td&gt;3&lt;/td&gt;&lt;td&gt;0&lt;/td&gt;&lt;td&gt;0&lt;/td&gt;&lt;td&gt;1&lt;/td&gt;&lt;td&gt;0&lt;/td&gt;&lt;td&gt;0&lt;/td&gt;&lt;td&gt;0&lt;/td&gt;&lt;td&gt;0&lt;/td&gt;&lt;td&gt;4&lt;/td&gt;&lt;td&gt;0.11&lt;/td&gt;&lt;td&gt;13&lt;/td&gt;&lt;td&gt;0.35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3&lt;/td&gt;&lt;td&gt;0&lt;/td&gt;&lt;td&gt;0&lt;/td&gt;&lt;td&gt;0&lt;/td&gt;&lt;td&gt;2&lt;/td&gt;&lt;td&gt;1&lt;/td&gt;&lt;td&gt;2&lt;/td&gt;&lt;td&gt;0&lt;/td&gt;&lt;td&gt;8&lt;/td&gt;&lt;td&gt;0.09&lt;/td&gt;&lt;td&gt;45&lt;/td&gt;&lt;td&gt;0.50&lt;/td&gt;&lt;/tr&gt;</v>
      </c>
    </row>
    <row r="32" spans="1:46" x14ac:dyDescent="0.3">
      <c r="A32" t="str">
        <f>AC3</f>
        <v>&lt;tr&gt;&lt;td&gt;Geraneo&lt;/td&gt;&lt;td&gt;9&lt;/td&gt;&lt;td&gt;0&lt;/td&gt;&lt;td&gt;0&lt;/td&gt;&lt;td&gt;0&lt;/td&gt;&lt;td&gt;0&lt;/td&gt;&lt;td&gt;0&lt;/td&gt;&lt;td&gt;0&lt;/td&gt;&lt;td&gt;0&lt;/td&gt;&lt;td&gt;0&lt;/td&gt;&lt;td&gt;0&lt;/td&gt;&lt;td&gt;0&lt;/td&gt;&lt;td&gt;1&lt;/td&gt;&lt;td&gt;1&lt;/td&gt;&lt;td&gt;0.11&lt;/td&gt;&lt;td&gt;2&lt;/td&gt;&lt;td&gt;0.22&lt;/td&gt;&lt;/tr&gt;</v>
      </c>
    </row>
    <row r="33" spans="1:1" x14ac:dyDescent="0.3">
      <c r="A33" t="str">
        <f>AC7</f>
        <v>&lt;tr&gt;&lt;td&gt;Donnelly&lt;/td&gt;&lt;td&gt;90&lt;/td&gt;&lt;td&gt;0&lt;/td&gt;&lt;td&gt;0&lt;/td&gt;&lt;td&gt;0&lt;/td&gt;&lt;td&gt;6&lt;/td&gt;&lt;td&gt;0&lt;/td&gt;&lt;td&gt;3&lt;/td&gt;&lt;td&gt;4&lt;/td&gt;&lt;td&gt;1&lt;/td&gt;&lt;td&gt;0&lt;/td&gt;&lt;td&gt;2&lt;/td&gt;&lt;td&gt;0&lt;/td&gt;&lt;td&gt;16&lt;/td&gt;&lt;td&gt;0.18&lt;/td&gt;&lt;td&gt;44&lt;/td&gt;&lt;td&gt;0.49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40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9&lt;/td&gt;&lt;td&gt;0.23&lt;/td&gt;&lt;/tr&gt;</v>
      </c>
    </row>
    <row r="38" spans="1:1" x14ac:dyDescent="0.3">
      <c r="A38" t="str">
        <f>AC21</f>
        <v>&lt;tr&gt;&lt;td&gt;Snowden&lt;/td&gt;&lt;td&gt;83&lt;/td&gt;&lt;td&gt;0&lt;/td&gt;&lt;td&gt;0&lt;/td&gt;&lt;td&gt;1&lt;/td&gt;&lt;td&gt;3&lt;/td&gt;&lt;td&gt;0&lt;/td&gt;&lt;td&gt;0&lt;/td&gt;&lt;td&gt;0&lt;/td&gt;&lt;td&gt;0&lt;/td&gt;&lt;td&gt;0&lt;/td&gt;&lt;td&gt;0&lt;/td&gt;&lt;td&gt;0&lt;/td&gt;&lt;td&gt;4&lt;/td&gt;&lt;td&gt;0.05&lt;/td&gt;&lt;td&gt;23&lt;/td&gt;&lt;td&gt;0.28&lt;/td&gt;&lt;/tr&gt;</v>
      </c>
    </row>
    <row r="39" spans="1:1" x14ac:dyDescent="0.3">
      <c r="A39" t="str">
        <f>AC11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55&lt;/td&gt;&lt;td&gt;0&lt;/td&gt;&lt;td&gt;0&lt;/td&gt;&lt;td&gt;1&lt;/td&gt;&lt;td&gt;0&lt;/td&gt;&lt;td&gt;0&lt;/td&gt;&lt;td&gt;3&lt;/td&gt;&lt;td&gt;3&lt;/td&gt;&lt;td&gt;1&lt;/td&gt;&lt;td&gt;0&lt;/td&gt;&lt;td&gt;1&lt;/td&gt;&lt;td&gt;0&lt;/td&gt;&lt;td&gt;9&lt;/td&gt;&lt;td&gt;0.16&lt;/td&gt;&lt;td&gt;12&lt;/td&gt;&lt;td&gt;0.22&lt;/td&gt;&lt;/tr&gt;</v>
      </c>
    </row>
    <row r="42" spans="1:1" x14ac:dyDescent="0.3">
      <c r="A42" t="str">
        <f>AC10</f>
        <v>&lt;tr&gt;&lt;td&gt;Rudney&lt;/td&gt;&lt;td&gt;78&lt;/td&gt;&lt;td&gt;0&lt;/td&gt;&lt;td&gt;0&lt;/td&gt;&lt;td&gt;1&lt;/td&gt;&lt;td&gt;1&lt;/td&gt;&lt;td&gt;1&lt;/td&gt;&lt;td&gt;3&lt;/td&gt;&lt;td&gt;1&lt;/td&gt;&lt;td&gt;0&lt;/td&gt;&lt;td&gt;2&lt;/td&gt;&lt;td&gt;2&lt;/td&gt;&lt;td&gt;0&lt;/td&gt;&lt;td&gt;10&lt;/td&gt;&lt;td&gt;0.13&lt;/td&gt;&lt;td&gt;18&lt;/td&gt;&lt;td&gt;0.23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61&lt;/td&gt;&lt;td&gt;0&lt;/td&gt;&lt;td&gt;0&lt;/td&gt;&lt;td&gt;0&lt;/td&gt;&lt;td&gt;1&lt;/td&gt;&lt;td&gt;0&lt;/td&gt;&lt;td&gt;0&lt;/td&gt;&lt;td&gt;0&lt;/td&gt;&lt;td&gt;0&lt;/td&gt;&lt;td&gt;1&lt;/td&gt;&lt;td&gt;0&lt;/td&gt;&lt;td&gt;3&lt;/td&gt;&lt;td&gt;5&lt;/td&gt;&lt;td&gt;0.08&lt;/td&gt;&lt;td&gt;11&lt;/td&gt;&lt;td&gt;0.18&lt;/td&gt;&lt;/tr&gt;</v>
      </c>
    </row>
    <row r="45" spans="1:1" x14ac:dyDescent="0.3">
      <c r="A45" t="str">
        <f>AC17</f>
        <v>&lt;tr&gt;&lt;td&gt;Carpenter&lt;/td&gt;&lt;td&gt;40&lt;/td&gt;&lt;td&gt;0&lt;/td&gt;&lt;td&gt;0&lt;/td&gt;&lt;td&gt;0&lt;/td&gt;&lt;td&gt;1&lt;/td&gt;&lt;td&gt;0&lt;/td&gt;&lt;td&gt;1&lt;/td&gt;&lt;td&gt;0&lt;/td&gt;&lt;td&gt;0&lt;/td&gt;&lt;td&gt;0&lt;/td&gt;&lt;td&gt;1&lt;/td&gt;&lt;td&gt;0&lt;/td&gt;&lt;td&gt;3&lt;/td&gt;&lt;td&gt;0.08&lt;/td&gt;&lt;td&gt;10&lt;/td&gt;&lt;td&gt;0.25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50&lt;/td&gt;&lt;td&gt;0&lt;/td&gt;&lt;td&gt;0&lt;/td&gt;&lt;td&gt;0&lt;/td&gt;&lt;td&gt;3&lt;/td&gt;&lt;td&gt;0&lt;/td&gt;&lt;td&gt;0&lt;/td&gt;&lt;td&gt;1&lt;/td&gt;&lt;td&gt;5&lt;/td&gt;&lt;td&gt;3&lt;/td&gt;&lt;td&gt;0&lt;/td&gt;&lt;td&gt;0&lt;/td&gt;&lt;td&gt;12&lt;/td&gt;&lt;td&gt;0.24&lt;/td&gt;&lt;td&gt;17&lt;/td&gt;&lt;td&gt;0.34&lt;/td&gt;&lt;/tr&gt;</v>
      </c>
    </row>
    <row r="48" spans="1:1" x14ac:dyDescent="0.3">
      <c r="A48" t="str">
        <f>AC6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0" spans="1:1" x14ac:dyDescent="0.3">
      <c r="A50" t="str">
        <f>AT4</f>
        <v>&lt;tr&gt;&lt;td&gt;Makovicka&lt;/td&gt;&lt;td&gt;67&lt;/td&gt;&lt;td&gt;0&lt;/td&gt;&lt;td&gt;3&lt;/td&gt;&lt;td&gt;1&lt;/td&gt;&lt;td&gt;0&lt;/td&gt;&lt;td&gt;0&lt;/td&gt;&lt;td&gt;0&lt;/td&gt;&lt;td&gt;6&lt;/td&gt;&lt;td&gt;1&lt;/td&gt;&lt;td&gt;11&lt;/td&gt;&lt;td&gt;0.16&lt;/td&gt;&lt;td&gt;27&lt;/td&gt;&lt;td&gt;0.40&lt;/td&gt;&lt;/tr&gt;</v>
      </c>
    </row>
    <row r="51" spans="1:1" x14ac:dyDescent="0.3">
      <c r="A51" t="str">
        <f>AT15</f>
        <v>&lt;tr&gt;&lt;td&gt;Williams&lt;/td&gt;&lt;td&gt;90&lt;/td&gt;&lt;td&gt;1&lt;/td&gt;&lt;td&gt;5&lt;/td&gt;&lt;td&gt;4&lt;/td&gt;&lt;td&gt;1&lt;/td&gt;&lt;td&gt;0&lt;/td&gt;&lt;td&gt;0&lt;/td&gt;&lt;td&gt;5&lt;/td&gt;&lt;td&gt;8&lt;/td&gt;&lt;td&gt;24&lt;/td&gt;&lt;td&gt;0.27&lt;/td&gt;&lt;td&gt;28&lt;/td&gt;&lt;td&gt;0.31&lt;/td&gt;&lt;/tr&gt;</v>
      </c>
    </row>
    <row r="52" spans="1:1" x14ac:dyDescent="0.3">
      <c r="A52" t="str">
        <f>AT9</f>
        <v>&lt;tr&gt;&lt;td&gt;Guyott&lt;/td&gt;&lt;td&gt;50&lt;/td&gt;&lt;td&gt;0&lt;/td&gt;&lt;td&gt;1&lt;/td&gt;&lt;td&gt;2&lt;/td&gt;&lt;td&gt;0&lt;/td&gt;&lt;td&gt;0&lt;/td&gt;&lt;td&gt;0&lt;/td&gt;&lt;td&gt;1&lt;/td&gt;&lt;td&gt;3&lt;/td&gt;&lt;td&gt;7&lt;/td&gt;&lt;td&gt;0.14&lt;/td&gt;&lt;td&gt;19&lt;/td&gt;&lt;td&gt;0.38&lt;/td&gt;&lt;/tr&gt;</v>
      </c>
    </row>
    <row r="53" spans="1:1" x14ac:dyDescent="0.3">
      <c r="A53" t="str">
        <f>AT24</f>
        <v>&lt;tr&gt;&lt;td&gt;Sant&lt;/td&gt;&lt;td&gt;75&lt;/td&gt;&lt;td&gt;5&lt;/td&gt;&lt;td&gt;2&lt;/td&gt;&lt;td&gt;4&lt;/td&gt;&lt;td&gt;0&lt;/td&gt;&lt;td&gt;2&lt;/td&gt;&lt;td&gt;3&lt;/td&gt;&lt;td&gt;5&lt;/td&gt;&lt;td&gt;2&lt;/td&gt;&lt;td&gt;23&lt;/td&gt;&lt;td&gt;0.31&lt;/td&gt;&lt;td&gt;38&lt;/td&gt;&lt;td&gt;0.51&lt;/td&gt;&lt;/tr&gt;</v>
      </c>
    </row>
    <row r="54" spans="1:1" x14ac:dyDescent="0.3">
      <c r="A54" t="str">
        <f>AT12</f>
        <v>&lt;tr&gt;&lt;td&gt;Reda&lt;/td&gt;&lt;td&gt;37&lt;/td&gt;&lt;td&gt;3&lt;/td&gt;&lt;td&gt;0&lt;/td&gt;&lt;td&gt;3&lt;/td&gt;&lt;td&gt;0&lt;/td&gt;&lt;td&gt;0&lt;/td&gt;&lt;td&gt;1&lt;/td&gt;&lt;td&gt;1&lt;/td&gt;&lt;td&gt;1&lt;/td&gt;&lt;td&gt;9&lt;/td&gt;&lt;td&gt;0.24&lt;/td&gt;&lt;td&gt;13&lt;/td&gt;&lt;td&gt;0.35&lt;/td&gt;&lt;/tr&gt;</v>
      </c>
    </row>
    <row r="55" spans="1:1" x14ac:dyDescent="0.3">
      <c r="A55" t="str">
        <f>AT22</f>
        <v>&lt;tr&gt;&lt;td&gt;Borer&lt;/td&gt;&lt;td&gt;90&lt;/td&gt;&lt;td&gt;3&lt;/td&gt;&lt;td&gt;3&lt;/td&gt;&lt;td&gt;4&lt;/td&gt;&lt;td&gt;0&lt;/td&gt;&lt;td&gt;1&lt;/td&gt;&lt;td&gt;1&lt;/td&gt;&lt;td&gt;21&lt;/td&gt;&lt;td&gt;4&lt;/td&gt;&lt;td&gt;37&lt;/td&gt;&lt;td&gt;0.41&lt;/td&gt;&lt;td&gt;45&lt;/td&gt;&lt;td&gt;0.50&lt;/td&gt;&lt;/tr&gt;</v>
      </c>
    </row>
    <row r="56" spans="1:1" x14ac:dyDescent="0.3">
      <c r="A56" t="str">
        <f>AT3</f>
        <v>&lt;tr&gt;&lt;td&gt;Geraneo&lt;/td&gt;&lt;td&gt;9&lt;/td&gt;&lt;td&gt;0&lt;/td&gt;&lt;td&gt;0&lt;/td&gt;&lt;td&gt;0&lt;/td&gt;&lt;td&gt;0&lt;/td&gt;&lt;td&gt;0&lt;/td&gt;&lt;td&gt;0&lt;/td&gt;&lt;td&gt;0&lt;/td&gt;&lt;td&gt;1&lt;/td&gt;&lt;td&gt;1&lt;/td&gt;&lt;td&gt;0.11&lt;/td&gt;&lt;td&gt;2&lt;/td&gt;&lt;td&gt;0.22&lt;/td&gt;&lt;/tr&gt;</v>
      </c>
    </row>
    <row r="57" spans="1:1" x14ac:dyDescent="0.3">
      <c r="A57" t="str">
        <f>AT7</f>
        <v>&lt;tr&gt;&lt;td&gt;Donnelly&lt;/td&gt;&lt;td&gt;90&lt;/td&gt;&lt;td&gt;5&lt;/td&gt;&lt;td&gt;5&lt;/td&gt;&lt;td&gt;1&lt;/td&gt;&lt;td&gt;4&lt;/td&gt;&lt;td&gt;2&lt;/td&gt;&lt;td&gt;0&lt;/td&gt;&lt;td&gt;8&lt;/td&gt;&lt;td&gt;3&lt;/td&gt;&lt;td&gt;28&lt;/td&gt;&lt;td&gt;0.31&lt;/td&gt;&lt;td&gt;44&lt;/td&gt;&lt;td&gt;0.49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40&lt;/td&gt;&lt;td&gt;0&lt;/td&gt;&lt;td&gt;2&lt;/td&gt;&lt;td&gt;1&lt;/td&gt;&lt;td&gt;0&lt;/td&gt;&lt;td&gt;2&lt;/td&gt;&lt;td&gt;0&lt;/td&gt;&lt;td&gt;3&lt;/td&gt;&lt;td&gt;1&lt;/td&gt;&lt;td&gt;9&lt;/td&gt;&lt;td&gt;0.23&lt;/td&gt;&lt;td&gt;9&lt;/td&gt;&lt;td&gt;0.23&lt;/td&gt;&lt;/tr&gt;</v>
      </c>
    </row>
    <row r="62" spans="1:1" x14ac:dyDescent="0.3">
      <c r="A62" t="str">
        <f>AT21</f>
        <v>&lt;tr&gt;&lt;td&gt;Snowden&lt;/td&gt;&lt;td&gt;83&lt;/td&gt;&lt;td&gt;2&lt;/td&gt;&lt;td&gt;3&lt;/td&gt;&lt;td&gt;2&lt;/td&gt;&lt;td&gt;1&lt;/td&gt;&lt;td&gt;0&lt;/td&gt;&lt;td&gt;1&lt;/td&gt;&lt;td&gt;6&lt;/td&gt;&lt;td&gt;4&lt;/td&gt;&lt;td&gt;19&lt;/td&gt;&lt;td&gt;0.23&lt;/td&gt;&lt;td&gt;23&lt;/td&gt;&lt;td&gt;0.28&lt;/td&gt;&lt;/tr&gt;</v>
      </c>
    </row>
    <row r="63" spans="1:1" x14ac:dyDescent="0.3">
      <c r="A63" t="str">
        <f>AT11</f>
        <v>&lt;tr&gt;&lt;td&gt;Prososki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55&lt;/td&gt;&lt;td&gt;1&lt;/td&gt;&lt;td&gt;1&lt;/td&gt;&lt;td&gt;0&lt;/td&gt;&lt;td&gt;0&lt;/td&gt;&lt;td&gt;0&lt;/td&gt;&lt;td&gt;0&lt;/td&gt;&lt;td&gt;0&lt;/td&gt;&lt;td&gt;1&lt;/td&gt;&lt;td&gt;3&lt;/td&gt;&lt;td&gt;0.05&lt;/td&gt;&lt;td&gt;12&lt;/td&gt;&lt;td&gt;0.22&lt;/td&gt;&lt;/tr&gt;</v>
      </c>
    </row>
    <row r="66" spans="1:23" x14ac:dyDescent="0.3">
      <c r="A66" t="str">
        <f>AT10</f>
        <v>&lt;tr&gt;&lt;td&gt;Rudney&lt;/td&gt;&lt;td&gt;78&lt;/td&gt;&lt;td&gt;2&lt;/td&gt;&lt;td&gt;1&lt;/td&gt;&lt;td&gt;3&lt;/td&gt;&lt;td&gt;0&lt;/td&gt;&lt;td&gt;0&lt;/td&gt;&lt;td&gt;0&lt;/td&gt;&lt;td&gt;0&lt;/td&gt;&lt;td&gt;2&lt;/td&gt;&lt;td&gt;8&lt;/td&gt;&lt;td&gt;0.10&lt;/td&gt;&lt;td&gt;18&lt;/td&gt;&lt;td&gt;0.23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61&lt;/td&gt;&lt;td&gt;2&lt;/td&gt;&lt;td&gt;1&lt;/td&gt;&lt;td&gt;1&lt;/td&gt;&lt;td&gt;0&lt;/td&gt;&lt;td&gt;0&lt;/td&gt;&lt;td&gt;0&lt;/td&gt;&lt;td&gt;0&lt;/td&gt;&lt;td&gt;2&lt;/td&gt;&lt;td&gt;6&lt;/td&gt;&lt;td&gt;0.10&lt;/td&gt;&lt;td&gt;11&lt;/td&gt;&lt;td&gt;0.18&lt;/td&gt;&lt;/tr&gt;</v>
      </c>
    </row>
    <row r="69" spans="1:23" x14ac:dyDescent="0.3">
      <c r="A69" t="str">
        <f>AT17</f>
        <v>&lt;tr&gt;&lt;td&gt;Carpenter&lt;/td&gt;&lt;td&gt;40&lt;/td&gt;&lt;td&gt;0&lt;/td&gt;&lt;td&gt;1&lt;/td&gt;&lt;td&gt;3&lt;/td&gt;&lt;td&gt;0&lt;/td&gt;&lt;td&gt;1&lt;/td&gt;&lt;td&gt;0&lt;/td&gt;&lt;td&gt;0&lt;/td&gt;&lt;td&gt;2&lt;/td&gt;&lt;td&gt;7&lt;/td&gt;&lt;td&gt;0.18&lt;/td&gt;&lt;td&gt;10&lt;/td&gt;&lt;td&gt;0.25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50&lt;/td&gt;&lt;td&gt;1&lt;/td&gt;&lt;td&gt;0&lt;/td&gt;&lt;td&gt;2&lt;/td&gt;&lt;td&gt;0&lt;/td&gt;&lt;td&gt;0&lt;/td&gt;&lt;td&gt;0&lt;/td&gt;&lt;td&gt;0&lt;/td&gt;&lt;td&gt;2&lt;/td&gt;&lt;td&gt;5&lt;/td&gt;&lt;td&gt;0.10&lt;/td&gt;&lt;td&gt;17&lt;/td&gt;&lt;td&gt;0.34&lt;/td&gt;&lt;/tr&gt;</v>
      </c>
    </row>
    <row r="72" spans="1:23" x14ac:dyDescent="0.3">
      <c r="A72" t="str">
        <f>AT6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67,</v>
      </c>
      <c r="B76" t="str">
        <f>"minutes: "&amp;$B$15&amp;","</f>
        <v>minutes: 90,</v>
      </c>
      <c r="C76" t="str">
        <f>"minutes: "&amp;$B$9&amp;","</f>
        <v>minutes: 50,</v>
      </c>
      <c r="D76" t="str">
        <f>"minutes: "&amp;$B$24&amp;","</f>
        <v>minutes: 75,</v>
      </c>
      <c r="E76" t="str">
        <f>"minutes: "&amp;$B$12&amp;","</f>
        <v>minutes: 37,</v>
      </c>
      <c r="F76" t="str">
        <f>"minutes: "&amp;$B$22&amp;","</f>
        <v>minutes: 90,</v>
      </c>
      <c r="G76" t="str">
        <f>"minutes: "&amp;$B$3&amp;","</f>
        <v>minutes: 9,</v>
      </c>
      <c r="H76" t="str">
        <f>"minutes: "&amp;$B$7&amp;","</f>
        <v>minutes: 90,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40,</v>
      </c>
      <c r="M76" t="str">
        <f>"minutes: "&amp;$B$21&amp;","</f>
        <v>minutes: 83,</v>
      </c>
      <c r="N76" t="str">
        <f>"minutes: "&amp;$B$11&amp;","</f>
        <v>minutes: 0,</v>
      </c>
      <c r="O76" t="str">
        <f>"minutes: "&amp;$B$13&amp;","</f>
        <v>minutes: 0,</v>
      </c>
      <c r="P76" t="str">
        <f>"minutes: "&amp;$B$5&amp;","</f>
        <v>minutes: 55,</v>
      </c>
      <c r="Q76" t="str">
        <f>"minutes: "&amp;$B$10&amp;","</f>
        <v>minutes: 78,</v>
      </c>
      <c r="R76" t="str">
        <f>"minutes: "&amp;$B$2&amp;","</f>
        <v>minutes: 0,</v>
      </c>
      <c r="S76" t="str">
        <f>"minutes: "&amp;$B$19&amp;","</f>
        <v>minutes: 61,</v>
      </c>
      <c r="T76" t="str">
        <f>"minutes: "&amp;$B$17&amp;","</f>
        <v>minutes: 40,</v>
      </c>
      <c r="U76" t="str">
        <f>"minutes: "&amp;$B$18&amp;","</f>
        <v>minutes: 0,</v>
      </c>
      <c r="V76" t="str">
        <f>"minutes: "&amp;$B$16&amp;","</f>
        <v>minutes: 50,</v>
      </c>
      <c r="W76" t="str">
        <f>"minutes: "&amp;$B$6&amp;","</f>
        <v>minutes: 0,</v>
      </c>
    </row>
    <row r="77" spans="1:23" x14ac:dyDescent="0.3">
      <c r="A77" t="str">
        <f>"totalActions: "&amp;$Z$4&amp;","</f>
        <v>totalActions: 27,</v>
      </c>
      <c r="B77" t="str">
        <f>"totalActions: "&amp;$Z$15&amp;","</f>
        <v>totalActions: 28,</v>
      </c>
      <c r="C77" t="str">
        <f>"totalActions: "&amp;$Z$9&amp;","</f>
        <v>totalActions: 19,</v>
      </c>
      <c r="D77" t="str">
        <f>"totalActions: "&amp;$Z$24&amp;","</f>
        <v>totalActions: 38,</v>
      </c>
      <c r="E77" t="str">
        <f>"totalActions: "&amp;$Z$12&amp;","</f>
        <v>totalActions: 13,</v>
      </c>
      <c r="F77" t="str">
        <f>"totalActions: "&amp;$Z$22&amp;","</f>
        <v>totalActions: 45,</v>
      </c>
      <c r="G77" t="str">
        <f>"totalActions: "&amp;$Z$3&amp;","</f>
        <v>totalActions: 2,</v>
      </c>
      <c r="H77" t="str">
        <f>"totalActions: "&amp;$Z$7&amp;","</f>
        <v>totalActions: 44,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9,</v>
      </c>
      <c r="M77" t="str">
        <f>"totalActions: "&amp;$Z$21&amp;","</f>
        <v>totalActions: 23,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12,</v>
      </c>
      <c r="Q77" t="str">
        <f>"totalActions: "&amp;$Z$10&amp;","</f>
        <v>totalActions: 18,</v>
      </c>
      <c r="R77" t="str">
        <f>"totalActions: "&amp;$Z$2&amp;","</f>
        <v>totalActions: 0,</v>
      </c>
      <c r="S77" t="str">
        <f>"totalActions: "&amp;$Z$19&amp;","</f>
        <v>totalActions: 11,</v>
      </c>
      <c r="T77" t="str">
        <f>"totalActions: "&amp;$Z$17&amp;","</f>
        <v>totalActions: 10,</v>
      </c>
      <c r="U77" t="str">
        <f>"totalActions: "&amp;$Z$18&amp;","</f>
        <v>totalActions: 0,</v>
      </c>
      <c r="V77" t="str">
        <f>"totalActions: "&amp;$Z$16&amp;","</f>
        <v>totalActions: 17,</v>
      </c>
      <c r="W77" t="str">
        <f>"totalActions: "&amp;$Z$6&amp;","</f>
        <v>totalActions: 0,</v>
      </c>
    </row>
    <row r="78" spans="1:23" x14ac:dyDescent="0.3">
      <c r="A78" t="str">
        <f>"actionsPerMinute: "&amp;TEXT($AA$4,"0.00")&amp;","</f>
        <v>actionsPerMinute: 0.40,</v>
      </c>
      <c r="B78" t="str">
        <f>"actionsPerMinute: "&amp;TEXT($AA$15,"0.00")&amp;","</f>
        <v>actionsPerMinute: 0.31,</v>
      </c>
      <c r="C78" t="str">
        <f>"actionsPerMinute: "&amp;TEXT($AA$9,"0.00")&amp;","</f>
        <v>actionsPerMinute: 0.38,</v>
      </c>
      <c r="D78" t="str">
        <f>"actionsPerMinute: "&amp;TEXT($AA$24,"0.00")&amp;","</f>
        <v>actionsPerMinute: 0.51,</v>
      </c>
      <c r="E78" t="str">
        <f>"actionsPerMinute: "&amp;TEXT($AA$12,"0.00")&amp;","</f>
        <v>actionsPerMinute: 0.35,</v>
      </c>
      <c r="F78" t="str">
        <f>"actionsPerMinute: "&amp;TEXT($AA$22,"0.00")&amp;","</f>
        <v>actionsPerMinute: 0.50,</v>
      </c>
      <c r="G78" t="str">
        <f>"actionsPerMinute: "&amp;TEXT($AA$3,"0.00")&amp;","</f>
        <v>actionsPerMinute: 0.22,</v>
      </c>
      <c r="H78" t="str">
        <f>"actionsPerMinute: "&amp;TEXT($AA$7,"0.00")&amp;","</f>
        <v>actionsPerMinute: 0.49,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0.23,</v>
      </c>
      <c r="M78" t="str">
        <f>"actionsPerMinute: "&amp;TEXT($AA$21,"0.00")&amp;","</f>
        <v>actionsPerMinute: 0.28,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0.22,</v>
      </c>
      <c r="Q78" t="str">
        <f>"actionsPerMinute: "&amp;TEXT($AA$10,"0.00")&amp;","</f>
        <v>actionsPerMinute: 0.23,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0.18,</v>
      </c>
      <c r="T78" t="str">
        <f>"actionsPerMinute: "&amp;TEXT($AA$17,"0.00")&amp;","</f>
        <v>actionsPerMinute: 0.25,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0.34,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16,</v>
      </c>
      <c r="B81" t="str">
        <f>"totalActions: "&amp;$N$15&amp;","</f>
        <v>totalActions: 4,</v>
      </c>
      <c r="C81" t="str">
        <f>"totalActions: "&amp;$N$9&amp;","</f>
        <v>totalActions: 12,</v>
      </c>
      <c r="D81" t="str">
        <f>"totalActions: "&amp;$N$24&amp;","</f>
        <v>totalActions: 15,</v>
      </c>
      <c r="E81" t="str">
        <f>"totalActions: "&amp;$N$12&amp;","</f>
        <v>totalActions: 4,</v>
      </c>
      <c r="F81" t="str">
        <f>"totalActions: "&amp;$N$22&amp;","</f>
        <v>totalActions: 8,</v>
      </c>
      <c r="G81" t="str">
        <f>"totalActions: "&amp;$N$3&amp;","</f>
        <v>totalActions: 1,</v>
      </c>
      <c r="H81" t="str">
        <f>"totalActions: "&amp;$N$7&amp;","</f>
        <v>totalActions: 16,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0,</v>
      </c>
      <c r="M81" t="str">
        <f>"totalActions: "&amp;$N$21&amp;","</f>
        <v>totalActions: 4,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9,</v>
      </c>
      <c r="Q81" t="str">
        <f>"totalActions: "&amp;$N$10&amp;","</f>
        <v>totalActions: 10,</v>
      </c>
      <c r="R81" t="str">
        <f>"totalActions: "&amp;$N$2&amp;","</f>
        <v>totalActions: 0,</v>
      </c>
      <c r="S81" t="str">
        <f>"totalActions: "&amp;$N$19&amp;","</f>
        <v>totalActions: 5,</v>
      </c>
      <c r="T81" t="str">
        <f>"totalActions: "&amp;$N$17&amp;","</f>
        <v>totalActions: 3,</v>
      </c>
      <c r="U81" t="str">
        <f>"totalActions: "&amp;$N$18&amp;","</f>
        <v>totalActions: 0,</v>
      </c>
      <c r="V81" t="str">
        <f>"totalActions: "&amp;$N$16&amp;","</f>
        <v>totalActions: 12,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0.24,</v>
      </c>
      <c r="B82" t="str">
        <f>"actionsPerMinute: "&amp;TEXT($O$15,"0.00")&amp;","</f>
        <v>actionsPerMinute: 0.04,</v>
      </c>
      <c r="C82" t="str">
        <f>"actionsPerMinute: "&amp;TEXT($O$9,"0.00")&amp;","</f>
        <v>actionsPerMinute: 0.24,</v>
      </c>
      <c r="D82" t="str">
        <f>"actionsPerMinute: "&amp;TEXT($O$24,"0.00")&amp;","</f>
        <v>actionsPerMinute: 0.20,</v>
      </c>
      <c r="E82" t="str">
        <f>"actionsPerMinute: "&amp;TEXT($O$12,"0.00")&amp;","</f>
        <v>actionsPerMinute: 0.11,</v>
      </c>
      <c r="F82" t="str">
        <f>"actionsPerMinute: "&amp;TEXT($O$22,"0.00")&amp;","</f>
        <v>actionsPerMinute: 0.09,</v>
      </c>
      <c r="G82" t="str">
        <f>"actionsPerMinute: "&amp;TEXT($O$3,"0.00")&amp;","</f>
        <v>actionsPerMinute: 0.11,</v>
      </c>
      <c r="H82" t="str">
        <f>"actionsPerMinute: "&amp;TEXT($O$7,"0.00")&amp;","</f>
        <v>actionsPerMinute: 0.18,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0.05,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0.16,</v>
      </c>
      <c r="Q82" t="str">
        <f>"actionsPerMinute: "&amp;TEXT($O$10,"0.00")&amp;","</f>
        <v>actionsPerMinute: 0.13,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0.08,</v>
      </c>
      <c r="T82" t="str">
        <f>"actionsPerMinute: "&amp;TEXT($O$17,"0.00")&amp;","</f>
        <v>actionsPerMinute: 0.08,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0.24,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1,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1,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1,</v>
      </c>
      <c r="Q85" t="str">
        <f>"keyPasses: "&amp;$E$10&amp;","</f>
        <v>keyPasses: 1,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2,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2,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1,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1,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3,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3,</v>
      </c>
      <c r="Q87" t="str">
        <f>"effectiveCrosses: "&amp;$H$10&amp;","</f>
        <v>effectiveCrosses: 3,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1,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1,</v>
      </c>
      <c r="B88" t="str">
        <f>"oneVOnes: "&amp;$I$15&amp;","</f>
        <v>oneVOnes: 0,</v>
      </c>
      <c r="C88" t="str">
        <f>"oneVOnes: "&amp;$I$9&amp;","</f>
        <v>oneVOnes: 4,</v>
      </c>
      <c r="D88" t="str">
        <f>"oneVOnes: "&amp;$I$24&amp;","</f>
        <v>oneVOnes: 4,</v>
      </c>
      <c r="E88" t="str">
        <f>"oneVOnes: "&amp;$I$12&amp;","</f>
        <v>oneVOnes: 1,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4,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0,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3,</v>
      </c>
      <c r="Q88" t="str">
        <f>"oneVOnes: "&amp;$I$10&amp;","</f>
        <v>oneVOnes: 1,</v>
      </c>
      <c r="R88" t="str">
        <f>"oneVOnes: "&amp;$I$2&amp;","</f>
        <v>oneVOnes: 0,</v>
      </c>
      <c r="S88" t="str">
        <f>"oneVOnes: "&amp;$I$19&amp;","</f>
        <v>oneVOnes: 0,</v>
      </c>
      <c r="T88" t="str">
        <f>"oneVOnes: "&amp;$I$17&amp;","</f>
        <v>oneVOnes: 0,</v>
      </c>
      <c r="U88" t="str">
        <f>"oneVOnes: "&amp;$I$18&amp;","</f>
        <v>oneVOnes: 0,</v>
      </c>
      <c r="V88" t="str">
        <f>"oneVOnes: "&amp;$I$16&amp;","</f>
        <v>oneVOnes: 1,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6,</v>
      </c>
      <c r="B89" t="str">
        <f>"headers: "&amp;$J$15&amp;","</f>
        <v>headers: 1,</v>
      </c>
      <c r="C89" t="str">
        <f>"headers: "&amp;$J$9&amp;","</f>
        <v>headers: 1,</v>
      </c>
      <c r="D89" t="str">
        <f>"headers: "&amp;$J$24&amp;","</f>
        <v>headers: 1,</v>
      </c>
      <c r="E89" t="str">
        <f>"headers: "&amp;$J$12&amp;","</f>
        <v>headers: 0,</v>
      </c>
      <c r="F89" t="str">
        <f>"headers: "&amp;$J$22&amp;","</f>
        <v>headers: 2,</v>
      </c>
      <c r="G89" t="str">
        <f>"headers: "&amp;$J$3&amp;","</f>
        <v>headers: 0,</v>
      </c>
      <c r="H89" t="str">
        <f>"headers: "&amp;$J$7&amp;","</f>
        <v>headers: 1,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0,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0,</v>
      </c>
      <c r="R89" t="str">
        <f>"headers: "&amp;$J$2&amp;","</f>
        <v>headers: 0,</v>
      </c>
      <c r="S89" t="str">
        <f>"headers: "&amp;$J$19&amp;","</f>
        <v>headers: 0,</v>
      </c>
      <c r="T89" t="str">
        <f>"headers: "&amp;$J$17&amp;","</f>
        <v>headers: 0,</v>
      </c>
      <c r="U89" t="str">
        <f>"headers: "&amp;$J$18&amp;","</f>
        <v>headers: 0,</v>
      </c>
      <c r="V89" t="str">
        <f>"headers: "&amp;$J$16&amp;","</f>
        <v>headers: 5,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3,</v>
      </c>
      <c r="B90" t="str">
        <f>"spEarned: "&amp;$K$15&amp;","</f>
        <v>spEarned: 0,</v>
      </c>
      <c r="C90" t="str">
        <f>"spEarned: "&amp;$K$9&amp;","</f>
        <v>spEarned: 2,</v>
      </c>
      <c r="D90" t="str">
        <f>"spEarned: "&amp;$K$24&amp;","</f>
        <v>spEarned: 0,</v>
      </c>
      <c r="E90" t="str">
        <f>"spEarned: "&amp;$K$12&amp;","</f>
        <v>spEarned: 0,</v>
      </c>
      <c r="F90" t="str">
        <f>"spEarned: "&amp;$K$22&amp;","</f>
        <v>spEarned: 1,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0,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2,</v>
      </c>
      <c r="R90" t="str">
        <f>"spEarned: "&amp;$K$2&amp;","</f>
        <v>spEarned: 0,</v>
      </c>
      <c r="S90" t="str">
        <f>"spEarned: "&amp;$K$19&amp;","</f>
        <v>spEarned: 1,</v>
      </c>
      <c r="T90" t="str">
        <f>"spEarned: "&amp;$K$17&amp;","</f>
        <v>spEarned: 0,</v>
      </c>
      <c r="U90" t="str">
        <f>"spEarned: "&amp;$K$18&amp;","</f>
        <v>spEarned: 0,</v>
      </c>
      <c r="V90" t="str">
        <f>"spEarned: "&amp;$K$16&amp;","</f>
        <v>spEarned: 3,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1,</v>
      </c>
      <c r="B91" t="str">
        <f>"onTargetShots: "&amp;$M$15&amp;","</f>
        <v>onTargetShots: 0,</v>
      </c>
      <c r="C91" t="str">
        <f>"onTargetShots: "&amp;$M$9&amp;","</f>
        <v>onTargetShots: 1,</v>
      </c>
      <c r="D91" t="str">
        <f>"onTargetShots: "&amp;$M$24&amp;","</f>
        <v>onTargetShots: 1,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1,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3,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3,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1,</v>
      </c>
      <c r="E92" t="str">
        <f>"offTargetShots: "&amp;$L$12&amp;","</f>
        <v>offTargetShots: 0,</v>
      </c>
      <c r="F92" t="str">
        <f>"offTargetShots: "&amp;$L$22&amp;","</f>
        <v>offTargetShots: 2,</v>
      </c>
      <c r="G92" t="str">
        <f>"offTargetShots: "&amp;$L$3&amp;","</f>
        <v>offTargetShots: 0,</v>
      </c>
      <c r="H92" t="str">
        <f>"offTargetShots: "&amp;$L$7&amp;","</f>
        <v>offTargetShots: 2,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1,</v>
      </c>
      <c r="Q92" t="str">
        <f>"offTargetShots: "&amp;$L$10&amp;","</f>
        <v>offTargetShots: 2,</v>
      </c>
      <c r="R92" t="str">
        <f>"offTargetShots: "&amp;$L$2&amp;","</f>
        <v>offTargetShots: 0,</v>
      </c>
      <c r="S92" t="str">
        <f>"offTargetShots: "&amp;$L$19&amp;","</f>
        <v>offTargetShots: 0,</v>
      </c>
      <c r="T92" t="str">
        <f>"offTargetShots: "&amp;$L$17&amp;","</f>
        <v>offTargetShots: 1,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11,</v>
      </c>
      <c r="B96" t="str">
        <f>"totalActions: "&amp;$X$15&amp;","</f>
        <v>totalActions: 24,</v>
      </c>
      <c r="C96" t="str">
        <f>"totalActions: "&amp;$X$9&amp;","</f>
        <v>totalActions: 7,</v>
      </c>
      <c r="D96" t="str">
        <f>"totalActions: "&amp;$X$24&amp;","</f>
        <v>totalActions: 23,</v>
      </c>
      <c r="E96" t="str">
        <f>"totalActions: "&amp;$X$12&amp;","</f>
        <v>totalActions: 9,</v>
      </c>
      <c r="F96" t="str">
        <f>"totalActions: "&amp;$X$22&amp;","</f>
        <v>totalActions: 37,</v>
      </c>
      <c r="G96" t="str">
        <f>"totalActions: "&amp;$X$3&amp;","</f>
        <v>totalActions: 1,</v>
      </c>
      <c r="H96" t="str">
        <f>"totalActions: "&amp;$X$7&amp;","</f>
        <v>totalActions: 28,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9,</v>
      </c>
      <c r="M96" t="str">
        <f>"totalActions: "&amp;$X$21&amp;","</f>
        <v>totalActions: 19,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3,</v>
      </c>
      <c r="Q96" t="str">
        <f>"totalActions: "&amp;$X$10&amp;","</f>
        <v>totalActions: 8,</v>
      </c>
      <c r="R96" t="str">
        <f>"totalActions: "&amp;$X$2&amp;","</f>
        <v>totalActions: 0,</v>
      </c>
      <c r="S96" t="str">
        <f>"totalActions: "&amp;$X$19&amp;","</f>
        <v>totalActions: 6,</v>
      </c>
      <c r="T96" t="str">
        <f>"totalActions: "&amp;$X$17&amp;","</f>
        <v>totalActions: 7,</v>
      </c>
      <c r="U96" t="str">
        <f>"totalActions: "&amp;$X$18&amp;","</f>
        <v>totalActions: 0,</v>
      </c>
      <c r="V96" t="str">
        <f>"totalActions: "&amp;$X$16&amp;","</f>
        <v>totalActions: 5,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0.16,</v>
      </c>
      <c r="B97" t="str">
        <f>"actionsPerMinute: "&amp;TEXT($Y$15,"0.00")&amp;","</f>
        <v>actionsPerMinute: 0.27,</v>
      </c>
      <c r="C97" t="str">
        <f>"actionsPerMinute: "&amp;TEXT($Y$9,"0.00")&amp;","</f>
        <v>actionsPerMinute: 0.14,</v>
      </c>
      <c r="D97" t="str">
        <f>"actionsPerMinute: "&amp;TEXT($Y$24,"0.00")&amp;","</f>
        <v>actionsPerMinute: 0.31,</v>
      </c>
      <c r="E97" t="str">
        <f>"actionsPerMinute: "&amp;TEXT($Y$12,"0.00")&amp;","</f>
        <v>actionsPerMinute: 0.24,</v>
      </c>
      <c r="F97" t="str">
        <f>"actionsPerMinute: "&amp;TEXT($Y$22,"0.00")&amp;","</f>
        <v>actionsPerMinute: 0.41,</v>
      </c>
      <c r="G97" t="str">
        <f>"actionsPerMinute: "&amp;TEXT($Y$3,"0.00")&amp;","</f>
        <v>actionsPerMinute: 0.11,</v>
      </c>
      <c r="H97" t="str">
        <f>"actionsPerMinute: "&amp;TEXT($Y$7,"0.00")&amp;","</f>
        <v>actionsPerMinute: 0.31,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0.23,</v>
      </c>
      <c r="M97" t="str">
        <f>"actionsPerMinute: "&amp;TEXT($Y$21,"0.00")&amp;","</f>
        <v>actionsPerMinute: 0.23,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0.05,</v>
      </c>
      <c r="Q97" t="str">
        <f>"actionsPerMinute: "&amp;TEXT($Y$10,"0.00")&amp;","</f>
        <v>actionsPerMinute: 0.10,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0.10,</v>
      </c>
      <c r="T97" t="str">
        <f>"actionsPerMinute: "&amp;TEXT($Y$17,"0.00")&amp;","</f>
        <v>actionsPerMinute: 0.18,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0,</v>
      </c>
      <c r="B98" t="str">
        <f>"tackles: "&amp;$P$15&amp;","</f>
        <v>tackles: 1,</v>
      </c>
      <c r="C98" t="str">
        <f>"tackles: "&amp;$P$9&amp;","</f>
        <v>tackles: 0,</v>
      </c>
      <c r="D98" t="str">
        <f>"tackles: "&amp;$P$24&amp;","</f>
        <v>tackles: 5,</v>
      </c>
      <c r="E98" t="str">
        <f>"tackles: "&amp;$P$12&amp;","</f>
        <v>tackles: 3,</v>
      </c>
      <c r="F98" t="str">
        <f>"tackles: "&amp;$P$22&amp;","</f>
        <v>tackles: 3,</v>
      </c>
      <c r="G98" t="str">
        <f>"tackles: "&amp;$P$3&amp;","</f>
        <v>tackles: 0,</v>
      </c>
      <c r="H98" t="str">
        <f>"tackles: "&amp;$P$7&amp;","</f>
        <v>tackles: 5,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2,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1,</v>
      </c>
      <c r="Q98" t="str">
        <f>"tackles: "&amp;$P$10&amp;","</f>
        <v>tackles: 2,</v>
      </c>
      <c r="R98" t="str">
        <f>"tackles: "&amp;$P$2&amp;","</f>
        <v>tackles: 0,</v>
      </c>
      <c r="S98" t="str">
        <f>"tackles: "&amp;$P$19&amp;","</f>
        <v>tackles: 2,</v>
      </c>
      <c r="T98" t="str">
        <f>"tackles: "&amp;$P$17&amp;","</f>
        <v>tackles: 0,</v>
      </c>
      <c r="U98" t="str">
        <f>"tackles: "&amp;$P$18&amp;","</f>
        <v>tackles: 0,</v>
      </c>
      <c r="V98" t="str">
        <f>"tackles: "&amp;$P$16&amp;","</f>
        <v>tackles: 1,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3,</v>
      </c>
      <c r="B99" t="str">
        <f>"interceptions: "&amp;$Q$15&amp;","</f>
        <v>interceptions: 5,</v>
      </c>
      <c r="C99" t="str">
        <f>"interceptions: "&amp;$Q$9&amp;","</f>
        <v>interceptions: 1,</v>
      </c>
      <c r="D99" t="str">
        <f>"interceptions: "&amp;$Q$24&amp;","</f>
        <v>interceptions: 2,</v>
      </c>
      <c r="E99" t="str">
        <f>"interceptions: "&amp;$Q$12&amp;","</f>
        <v>interceptions: 0,</v>
      </c>
      <c r="F99" t="str">
        <f>"interceptions: "&amp;$Q$22&amp;","</f>
        <v>interceptions: 3,</v>
      </c>
      <c r="G99" t="str">
        <f>"interceptions: "&amp;$Q$3&amp;","</f>
        <v>interceptions: 0,</v>
      </c>
      <c r="H99" t="str">
        <f>"interceptions: "&amp;$Q$7&amp;","</f>
        <v>interceptions: 5,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2,</v>
      </c>
      <c r="M99" t="str">
        <f>"interceptions: "&amp;$Q$21&amp;","</f>
        <v>interceptions: 3,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1,</v>
      </c>
      <c r="Q99" t="str">
        <f>"interceptions: "&amp;$Q$10&amp;","</f>
        <v>interceptions: 1,</v>
      </c>
      <c r="R99" t="str">
        <f>"interceptions: "&amp;$Q$2&amp;","</f>
        <v>interceptions: 0,</v>
      </c>
      <c r="S99" t="str">
        <f>"interceptions: "&amp;$Q$19&amp;","</f>
        <v>interceptions: 1,</v>
      </c>
      <c r="T99" t="str">
        <f>"interceptions: "&amp;$Q$17&amp;","</f>
        <v>interceptions: 1,</v>
      </c>
      <c r="U99" t="str">
        <f>"interceptions: "&amp;$Q$18&amp;","</f>
        <v>interceptions: 0,</v>
      </c>
      <c r="V99" t="str">
        <f>"interceptions: "&amp;$Q$16&amp;","</f>
        <v>interceptions: 0,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1,</v>
      </c>
      <c r="B100" t="str">
        <f>"fhRegains: "&amp;$R$15&amp;","</f>
        <v>fhRegains: 4,</v>
      </c>
      <c r="C100" t="str">
        <f>"fhRegains: "&amp;$R$9&amp;","</f>
        <v>fhRegains: 2,</v>
      </c>
      <c r="D100" t="str">
        <f>"fhRegains: "&amp;$R$24&amp;","</f>
        <v>fhRegains: 4,</v>
      </c>
      <c r="E100" t="str">
        <f>"fhRegains: "&amp;$R$12&amp;","</f>
        <v>fhRegains: 3,</v>
      </c>
      <c r="F100" t="str">
        <f>"fhRegains: "&amp;$R$22&amp;","</f>
        <v>fhRegains: 4,</v>
      </c>
      <c r="G100" t="str">
        <f>"fhRegains: "&amp;$R$3&amp;","</f>
        <v>fhRegains: 0,</v>
      </c>
      <c r="H100" t="str">
        <f>"fhRegains: "&amp;$R$7&amp;","</f>
        <v>fhRegains: 1,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2,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3,</v>
      </c>
      <c r="R100" t="str">
        <f>"fhRegains: "&amp;$R$2&amp;","</f>
        <v>fhRegains: 0,</v>
      </c>
      <c r="S100" t="str">
        <f>"fhRegains: "&amp;$R$19&amp;","</f>
        <v>fhRegains: 1,</v>
      </c>
      <c r="T100" t="str">
        <f>"fhRegains: "&amp;$R$17&amp;","</f>
        <v>fhRegains: 3,</v>
      </c>
      <c r="U100" t="str">
        <f>"fhRegains: "&amp;$R$18&amp;","</f>
        <v>fhRegains: 0,</v>
      </c>
      <c r="V100" t="str">
        <f>"fhRegains: "&amp;$R$16&amp;","</f>
        <v>fhRegains: 2,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1,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0,</v>
      </c>
      <c r="G101" t="str">
        <f>"blocks: "&amp;$S$3&amp;","</f>
        <v>blocks: 0,</v>
      </c>
      <c r="H101" t="str">
        <f>"blocks: "&amp;$S$7&amp;","</f>
        <v>blocks: 4,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1,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0,</v>
      </c>
      <c r="C102" t="str">
        <f>"clearances: "&amp;$T$9&amp;","</f>
        <v>clearances: 0,</v>
      </c>
      <c r="D102" t="str">
        <f>"clearances: "&amp;$T$24&amp;","</f>
        <v>clearances: 2,</v>
      </c>
      <c r="E102" t="str">
        <f>"clearances: "&amp;$T$12&amp;","</f>
        <v>clearances: 0,</v>
      </c>
      <c r="F102" t="str">
        <f>"clearances: "&amp;$T$22&amp;","</f>
        <v>clearances: 1,</v>
      </c>
      <c r="G102" t="str">
        <f>"clearances: "&amp;$T$3&amp;","</f>
        <v>clearances: 0,</v>
      </c>
      <c r="H102" t="str">
        <f>"clearances: "&amp;$T$7&amp;","</f>
        <v>clearances: 2,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2,</v>
      </c>
      <c r="M102" t="str">
        <f>"clearances: "&amp;$T$21&amp;","</f>
        <v>clearances: 0,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1,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0,</v>
      </c>
      <c r="C103" t="str">
        <f>"separations: "&amp;$U$9&amp;","</f>
        <v>separations: 0,</v>
      </c>
      <c r="D103" t="str">
        <f>"separations: "&amp;$U$24&amp;","</f>
        <v>separations: 3,</v>
      </c>
      <c r="E103" t="str">
        <f>"separations: "&amp;$U$12&amp;","</f>
        <v>separations: 1,</v>
      </c>
      <c r="F103" t="str">
        <f>"separations: "&amp;$U$22&amp;","</f>
        <v>separations: 1,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0,</v>
      </c>
      <c r="M103" t="str">
        <f>"separations: "&amp;$U$21&amp;","</f>
        <v>separations: 1,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6,</v>
      </c>
      <c r="B104" t="str">
        <f>"headers: "&amp;$V$15&amp;","</f>
        <v>headers: 5,</v>
      </c>
      <c r="C104" t="str">
        <f>"headers: "&amp;$V$9&amp;","</f>
        <v>headers: 1,</v>
      </c>
      <c r="D104" t="str">
        <f>"headers: "&amp;$V$24&amp;","</f>
        <v>headers: 5,</v>
      </c>
      <c r="E104" t="str">
        <f>"headers: "&amp;$V$12&amp;","</f>
        <v>headers: 1,</v>
      </c>
      <c r="F104" t="str">
        <f>"headers: "&amp;$V$22&amp;","</f>
        <v>headers: 21,</v>
      </c>
      <c r="G104" t="str">
        <f>"headers: "&amp;$V$3&amp;","</f>
        <v>headers: 0,</v>
      </c>
      <c r="H104" t="str">
        <f>"headers: "&amp;$V$7&amp;","</f>
        <v>headers: 8,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3,</v>
      </c>
      <c r="M104" t="str">
        <f>"headers: "&amp;$V$21&amp;","</f>
        <v>headers: 6,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0,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0,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1,</v>
      </c>
      <c r="B105" t="str">
        <f>"stopForwardCA: "&amp;$W$15&amp;","</f>
        <v>stopForwardCA: 8,</v>
      </c>
      <c r="C105" t="str">
        <f>"stopForwardCA: "&amp;$W$9&amp;","</f>
        <v>stopForwardCA: 3,</v>
      </c>
      <c r="D105" t="str">
        <f>"stopForwardCA: "&amp;$W$24&amp;","</f>
        <v>stopForwardCA: 2,</v>
      </c>
      <c r="E105" t="str">
        <f>"stopForwardCA: "&amp;$W$12&amp;","</f>
        <v>stopForwardCA: 1,</v>
      </c>
      <c r="F105" t="str">
        <f>"stopForwardCA: "&amp;$W$22&amp;","</f>
        <v>stopForwardCA: 4,</v>
      </c>
      <c r="G105" t="str">
        <f>"stopForwardCA: "&amp;$W$3&amp;","</f>
        <v>stopForwardCA: 1,</v>
      </c>
      <c r="H105" t="str">
        <f>"stopForwardCA: "&amp;$W$7&amp;","</f>
        <v>stopForwardCA: 3,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1,</v>
      </c>
      <c r="M105" t="str">
        <f>"stopForwardCA: "&amp;$W$21&amp;","</f>
        <v>stopForwardCA: 4,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1,</v>
      </c>
      <c r="Q105" t="str">
        <f>"stopForwardCA: "&amp;$W$10&amp;","</f>
        <v>stopForwardCA: 2,</v>
      </c>
      <c r="R105" t="str">
        <f>"stopForwardCA: "&amp;$W$2&amp;","</f>
        <v>stopForwardCA: 0,</v>
      </c>
      <c r="S105" t="str">
        <f>"stopForwardCA: "&amp;$W$19&amp;","</f>
        <v>stopForwardCA: 2,</v>
      </c>
      <c r="T105" t="str">
        <f>"stopForwardCA: "&amp;$W$17&amp;","</f>
        <v>stopForwardCA: 2,</v>
      </c>
      <c r="U105" t="str">
        <f>"stopForwardCA: "&amp;$W$18&amp;","</f>
        <v>stopForwardCA: 0,</v>
      </c>
      <c r="V105" t="str">
        <f>"stopForwardCA: "&amp;$W$16&amp;","</f>
        <v>stopForwardCA: 2,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67,</v>
      </c>
      <c r="B109" t="str">
        <f>"minutes: "&amp;B$15&amp;","</f>
        <v>minutes: 90,</v>
      </c>
      <c r="C109" t="str">
        <f>"minutes: "&amp;B$9&amp;","</f>
        <v>minutes: 50,</v>
      </c>
      <c r="D109" t="str">
        <f>"minutes: "&amp;B$24&amp;","</f>
        <v>minutes: 75,</v>
      </c>
      <c r="E109" t="str">
        <f>"minutes: "&amp;B$12&amp;","</f>
        <v>minutes: 37,</v>
      </c>
      <c r="F109" t="str">
        <f>"minutes: "&amp;B$22&amp;","</f>
        <v>minutes: 90,</v>
      </c>
      <c r="G109" t="str">
        <f>"minutes: "&amp;B$3&amp;","</f>
        <v>minutes: 9,</v>
      </c>
      <c r="H109" t="str">
        <f>"minutes: "&amp;B$7&amp;","</f>
        <v>minutes: 90,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40,</v>
      </c>
      <c r="M109" t="str">
        <f>"minutes: "&amp;B$21&amp;","</f>
        <v>minutes: 83,</v>
      </c>
      <c r="N109" t="str">
        <f>"minutes: "&amp;B$11&amp;","</f>
        <v>minutes: 0,</v>
      </c>
      <c r="O109" t="str">
        <f>"minutes: "&amp;B$13&amp;","</f>
        <v>minutes: 0,</v>
      </c>
      <c r="P109" t="str">
        <f>"minutes: "&amp;B$5&amp;","</f>
        <v>minutes: 55,</v>
      </c>
      <c r="Q109" t="str">
        <f>"minutes: "&amp;B$10&amp;","</f>
        <v>minutes: 78,</v>
      </c>
      <c r="R109" t="str">
        <f>"minutes: "&amp;B$2&amp;","</f>
        <v>minutes: 0,</v>
      </c>
      <c r="S109" t="str">
        <f>"minutes: "&amp;B$19&amp;","</f>
        <v>minutes: 61,</v>
      </c>
      <c r="T109" t="str">
        <f>"minutes: "&amp;B$17&amp;","</f>
        <v>minutes: 40,</v>
      </c>
      <c r="U109" t="str">
        <f>"minutes: "&amp;B$18&amp;","</f>
        <v>minutes: 0,</v>
      </c>
      <c r="V109" t="str">
        <f>"minutes: "&amp;B$16&amp;","</f>
        <v>minutes: 50,</v>
      </c>
      <c r="W109" t="str">
        <f>"minutes: "&amp;B$6&amp;","</f>
        <v>minutes: 0,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1,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1,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1,</v>
      </c>
      <c r="Q112" t="str">
        <f>"keyPasses: "&amp;$E$10&amp;","</f>
        <v>keyPasses: 1,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2,</v>
      </c>
      <c r="B113" t="str">
        <f>"startCA: "&amp;$F$15&amp;","</f>
        <v>startCA: 3,</v>
      </c>
      <c r="C113" t="str">
        <f>"startCA: "&amp;$F$9&amp;","</f>
        <v>startCA: 3,</v>
      </c>
      <c r="D113" t="str">
        <f>"startCA: "&amp;$F$24&amp;","</f>
        <v>startCA: 7,</v>
      </c>
      <c r="E113" t="str">
        <f>"startCA: "&amp;$F$12&amp;","</f>
        <v>startCA: 3,</v>
      </c>
      <c r="F113" t="str">
        <f>"startCA: "&amp;$F$22&amp;","</f>
        <v>startCA: 3,</v>
      </c>
      <c r="G113" t="str">
        <f>"startCA: "&amp;$F$3&amp;","</f>
        <v>startCA: 0,</v>
      </c>
      <c r="H113" t="str">
        <f>"startCA: "&amp;$F$7&amp;","</f>
        <v>startCA: 6,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0,</v>
      </c>
      <c r="M113" t="str">
        <f>"startCA: "&amp;$F$21&amp;","</f>
        <v>startCA: 3,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0,</v>
      </c>
      <c r="Q113" t="str">
        <f>"startCA: "&amp;$F$10&amp;","</f>
        <v>startCA: 1,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1,</v>
      </c>
      <c r="U113" t="str">
        <f>"startCA: "&amp;$F$18&amp;","</f>
        <v>startCA: 0,</v>
      </c>
      <c r="V113" t="str">
        <f>"startCA: "&amp;$F$16&amp;","</f>
        <v>startCA: 3,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2,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2,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1,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1,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3,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3,</v>
      </c>
      <c r="Q115" t="str">
        <f>"effCrosses: "&amp;$H$10&amp;","</f>
        <v>effCrosses: 3,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1,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1,</v>
      </c>
      <c r="B116" t="str">
        <f>"oneVones: "&amp;$I$15&amp;","</f>
        <v>oneVones: 0,</v>
      </c>
      <c r="C116" t="str">
        <f>"oneVones: "&amp;$I$9&amp;","</f>
        <v>oneVones: 4,</v>
      </c>
      <c r="D116" t="str">
        <f>"oneVones: "&amp;$I$24&amp;","</f>
        <v>oneVones: 4,</v>
      </c>
      <c r="E116" t="str">
        <f>"oneVones: "&amp;$I$12&amp;","</f>
        <v>oneVones: 1,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4,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0,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3,</v>
      </c>
      <c r="Q116" t="str">
        <f>"oneVones: "&amp;$I$10&amp;","</f>
        <v>oneVones: 1,</v>
      </c>
      <c r="R116" t="str">
        <f>"oneVones: "&amp;$I$2&amp;","</f>
        <v>oneVones: 0,</v>
      </c>
      <c r="S116" t="str">
        <f>"oneVones: "&amp;$I$19&amp;","</f>
        <v>oneVones: 0,</v>
      </c>
      <c r="T116" t="str">
        <f>"oneVones: "&amp;$I$17&amp;","</f>
        <v>oneVones: 0,</v>
      </c>
      <c r="U116" t="str">
        <f>"oneVones: "&amp;$I$18&amp;","</f>
        <v>oneVones: 0,</v>
      </c>
      <c r="V116" t="str">
        <f>"oneVones: "&amp;$I$16&amp;","</f>
        <v>oneVones: 1,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6,</v>
      </c>
      <c r="B117" t="str">
        <f>"attHeaders: "&amp;$J$15&amp;","</f>
        <v>attHeaders: 1,</v>
      </c>
      <c r="C117" t="str">
        <f>"attHeaders: "&amp;$J$9&amp;","</f>
        <v>attHeaders: 1,</v>
      </c>
      <c r="D117" t="str">
        <f>"attHeaders: "&amp;$J$24&amp;","</f>
        <v>attHeaders: 1,</v>
      </c>
      <c r="E117" t="str">
        <f>"attHeaders: "&amp;$J$12&amp;","</f>
        <v>attHeaders: 0,</v>
      </c>
      <c r="F117" t="str">
        <f>"attHeaders: "&amp;$J$22&amp;","</f>
        <v>attHeaders: 2,</v>
      </c>
      <c r="G117" t="str">
        <f>"attHeaders: "&amp;$J$3&amp;","</f>
        <v>attHeaders: 0,</v>
      </c>
      <c r="H117" t="str">
        <f>"attHeaders: "&amp;$J$7&amp;","</f>
        <v>attHeaders: 1,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0,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0,</v>
      </c>
      <c r="R117" t="str">
        <f>"attHeaders: "&amp;$J$2&amp;","</f>
        <v>attHeaders: 0,</v>
      </c>
      <c r="S117" t="str">
        <f>"attHeaders: "&amp;$J$19&amp;","</f>
        <v>attHeaders: 0,</v>
      </c>
      <c r="T117" t="str">
        <f>"attHeaders: "&amp;$J$17&amp;","</f>
        <v>attHeaders: 0,</v>
      </c>
      <c r="U117" t="str">
        <f>"attHeaders: "&amp;$J$18&amp;","</f>
        <v>attHeaders: 0,</v>
      </c>
      <c r="V117" t="str">
        <f>"attHeaders: "&amp;$J$16&amp;","</f>
        <v>attHeaders: 5,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3,</v>
      </c>
      <c r="B118" t="str">
        <f>"spEarned: "&amp;$K$15&amp;","</f>
        <v>spEarned: 0,</v>
      </c>
      <c r="C118" t="str">
        <f>"spEarned: "&amp;$K$9&amp;","</f>
        <v>spEarned: 2,</v>
      </c>
      <c r="D118" t="str">
        <f>"spEarned: "&amp;$K$24&amp;","</f>
        <v>spEarned: 0,</v>
      </c>
      <c r="E118" t="str">
        <f>"spEarned: "&amp;$K$12&amp;","</f>
        <v>spEarned: 0,</v>
      </c>
      <c r="F118" t="str">
        <f>"spEarned: "&amp;$K$22&amp;","</f>
        <v>spEarned: 1,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0,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2,</v>
      </c>
      <c r="R118" t="str">
        <f>"spEarned: "&amp;$K$2&amp;","</f>
        <v>spEarned: 0,</v>
      </c>
      <c r="S118" t="str">
        <f>"spEarned: "&amp;$K$19&amp;","</f>
        <v>spEarned: 1,</v>
      </c>
      <c r="T118" t="str">
        <f>"spEarned: "&amp;$K$17&amp;","</f>
        <v>spEarned: 0,</v>
      </c>
      <c r="U118" t="str">
        <f>"spEarned: "&amp;$K$18&amp;","</f>
        <v>spEarned: 0,</v>
      </c>
      <c r="V118" t="str">
        <f>"spEarned: "&amp;$K$16&amp;","</f>
        <v>spEarned: 3,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3,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1,</v>
      </c>
      <c r="E119" t="str">
        <f>"offTargetShots: "&amp;$L$12&amp;","</f>
        <v>offTargetShots: 0,</v>
      </c>
      <c r="F119" t="str">
        <f>"offTargetShots: "&amp;$L$22&amp;","</f>
        <v>offTargetShots: 2,</v>
      </c>
      <c r="G119" t="str">
        <f>"offTargetShots: "&amp;$L$3&amp;","</f>
        <v>offTargetShots: 0,</v>
      </c>
      <c r="H119" t="str">
        <f>"offTargetShots: "&amp;$L$7&amp;","</f>
        <v>offTargetShots: 2,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1,</v>
      </c>
      <c r="Q119" t="str">
        <f>"offTargetShots: "&amp;$L$10&amp;","</f>
        <v>offTargetShots: 2,</v>
      </c>
      <c r="R119" t="str">
        <f>"offTargetShots: "&amp;$L$2&amp;","</f>
        <v>offTargetShots: 0,</v>
      </c>
      <c r="S119" t="str">
        <f>"offTargetShots: "&amp;$L$19&amp;","</f>
        <v>offTargetShots: 0,</v>
      </c>
      <c r="T119" t="str">
        <f>"offTargetShots: "&amp;$L$17&amp;","</f>
        <v>offTargetShots: 1,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1,</v>
      </c>
      <c r="B120" t="str">
        <f>"onTargetShots: "&amp;$M$15&amp;","</f>
        <v>onTargetShots: 0,</v>
      </c>
      <c r="C120" t="str">
        <f>"onTargetShots: "&amp;$M$9&amp;","</f>
        <v>onTargetShots: 1,</v>
      </c>
      <c r="D120" t="str">
        <f>"onTargetShots: "&amp;$M$24&amp;","</f>
        <v>onTargetShots: 1,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1,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3,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0.24,</v>
      </c>
      <c r="B121" t="str">
        <f>"totalOffActMin: "&amp;TEXT($O$15,"0.00")&amp;","</f>
        <v>totalOffActMin: 0.04,</v>
      </c>
      <c r="C121" t="str">
        <f>"totalOffActMin: "&amp;TEXT($O$9,"0.00")&amp;","</f>
        <v>totalOffActMin: 0.24,</v>
      </c>
      <c r="D121" t="str">
        <f>"totalOffActMin: "&amp;TEXT($O$24,"0.00")&amp;","</f>
        <v>totalOffActMin: 0.20,</v>
      </c>
      <c r="E121" t="str">
        <f>"totalOffActMin: "&amp;TEXT($O$12,"0.00")&amp;","</f>
        <v>totalOffActMin: 0.11,</v>
      </c>
      <c r="F121" t="str">
        <f>"totalOffActMin: "&amp;TEXT($O$22,"0.00")&amp;","</f>
        <v>totalOffActMin: 0.09,</v>
      </c>
      <c r="G121" t="str">
        <f>"totalOffActMin: "&amp;TEXT($O$3,"0.00")&amp;","</f>
        <v>totalOffActMin: 0.11,</v>
      </c>
      <c r="H121" t="str">
        <f>"totalOffActMin: "&amp;TEXT($O$7,"0.00")&amp;","</f>
        <v>totalOffActMin: 0.18,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0.05,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0.16,</v>
      </c>
      <c r="Q121" t="str">
        <f>"totalOffActMin: "&amp;TEXT($O$10,"0.00")&amp;","</f>
        <v>totalOffActMin: 0.13,</v>
      </c>
      <c r="R121" t="str">
        <f>"totalOffActMin: "&amp;TEXT($O$2,"0.00")&amp;","</f>
        <v>totalOffActMin: 0.00,</v>
      </c>
      <c r="S121" t="str">
        <f>"totalOffActMin: "&amp;TEXT($O$19,"0.00")&amp;","</f>
        <v>totalOffActMin: 0.08,</v>
      </c>
      <c r="T121" t="str">
        <f>"totalOffActMin: "&amp;TEXT($O$17,"0.00")&amp;","</f>
        <v>totalOffActMin: 0.08,</v>
      </c>
      <c r="U121" t="str">
        <f>"totalOffActMin: "&amp;TEXT($O$18,"0.00")&amp;","</f>
        <v>totalOffActMin: 0.00,</v>
      </c>
      <c r="V121" t="str">
        <f>"totalOffActMin: "&amp;TEXT($O$16,"0.00")&amp;","</f>
        <v>totalOffActMin: 0.24,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1,</v>
      </c>
      <c r="C122" t="str">
        <f>"tackles: "&amp;$P$9&amp;","</f>
        <v>tackles: 0,</v>
      </c>
      <c r="D122" t="str">
        <f>"tackles: "&amp;$P$24&amp;","</f>
        <v>tackles: 5,</v>
      </c>
      <c r="E122" t="str">
        <f>"tackles: "&amp;$P$12&amp;","</f>
        <v>tackles: 3,</v>
      </c>
      <c r="F122" t="str">
        <f>"tackles: "&amp;$P$22&amp;","</f>
        <v>tackles: 3,</v>
      </c>
      <c r="G122" t="str">
        <f>"tackles: "&amp;$P$3&amp;","</f>
        <v>tackles: 0,</v>
      </c>
      <c r="H122" t="str">
        <f>"tackles: "&amp;$P$7&amp;","</f>
        <v>tackles: 5,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2,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1,</v>
      </c>
      <c r="Q122" t="str">
        <f>"tackles: "&amp;$P$10&amp;","</f>
        <v>tackles: 2,</v>
      </c>
      <c r="R122" t="str">
        <f>"tackles: "&amp;$P$2&amp;","</f>
        <v>tackles: 0,</v>
      </c>
      <c r="S122" t="str">
        <f>"tackles: "&amp;$P$19&amp;","</f>
        <v>tackles: 2,</v>
      </c>
      <c r="T122" t="str">
        <f>"tackles: "&amp;$P$17&amp;","</f>
        <v>tackles: 0,</v>
      </c>
      <c r="U122" t="str">
        <f>"tackles: "&amp;$P$18&amp;","</f>
        <v>tackles: 0,</v>
      </c>
      <c r="V122" t="str">
        <f>"tackles: "&amp;$P$16&amp;","</f>
        <v>tackles: 1,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3,</v>
      </c>
      <c r="B123" t="str">
        <f>"interceptions: "&amp;$Q$15&amp;","</f>
        <v>interceptions: 5,</v>
      </c>
      <c r="C123" t="str">
        <f>"interceptions: "&amp;$Q$9&amp;","</f>
        <v>interceptions: 1,</v>
      </c>
      <c r="D123" t="str">
        <f>"interceptions: "&amp;$Q$24&amp;","</f>
        <v>interceptions: 2,</v>
      </c>
      <c r="E123" t="str">
        <f>"interceptions: "&amp;$Q$12&amp;","</f>
        <v>interceptions: 0,</v>
      </c>
      <c r="F123" t="str">
        <f>"interceptions: "&amp;$Q$22&amp;","</f>
        <v>interceptions: 3,</v>
      </c>
      <c r="G123" t="str">
        <f>"interceptions: "&amp;$Q$3&amp;","</f>
        <v>interceptions: 0,</v>
      </c>
      <c r="H123" t="str">
        <f>"interceptions: "&amp;$Q$7&amp;","</f>
        <v>interceptions: 5,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2,</v>
      </c>
      <c r="M123" t="str">
        <f>"interceptions: "&amp;$Q$21&amp;","</f>
        <v>interceptions: 3,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1,</v>
      </c>
      <c r="Q123" t="str">
        <f>"interceptions: "&amp;$Q$10&amp;","</f>
        <v>interceptions: 1,</v>
      </c>
      <c r="R123" t="str">
        <f>"interceptions: "&amp;$Q$2&amp;","</f>
        <v>interceptions: 0,</v>
      </c>
      <c r="S123" t="str">
        <f>"interceptions: "&amp;$Q$19&amp;","</f>
        <v>interceptions: 1,</v>
      </c>
      <c r="T123" t="str">
        <f>"interceptions: "&amp;$Q$17&amp;","</f>
        <v>interceptions: 1,</v>
      </c>
      <c r="U123" t="str">
        <f>"interceptions: "&amp;$Q$18&amp;","</f>
        <v>interceptions: 0,</v>
      </c>
      <c r="V123" t="str">
        <f>"interceptions: "&amp;$Q$16&amp;","</f>
        <v>interceptions: 0,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1,</v>
      </c>
      <c r="B124" t="str">
        <f>"fhRegains: "&amp;$R$15&amp;","</f>
        <v>fhRegains: 4,</v>
      </c>
      <c r="C124" t="str">
        <f>"fhRegains: "&amp;$R$9&amp;","</f>
        <v>fhRegains: 2,</v>
      </c>
      <c r="D124" t="str">
        <f>"fhRegains: "&amp;$R$24&amp;","</f>
        <v>fhRegains: 4,</v>
      </c>
      <c r="E124" t="str">
        <f>"fhRegains: "&amp;$R$12&amp;","</f>
        <v>fhRegains: 3,</v>
      </c>
      <c r="F124" t="str">
        <f>"fhRegains: "&amp;$R$22&amp;","</f>
        <v>fhRegains: 4,</v>
      </c>
      <c r="G124" t="str">
        <f>"fhRegains: "&amp;$R$3&amp;","</f>
        <v>fhRegains: 0,</v>
      </c>
      <c r="H124" t="str">
        <f>"fhRegains: "&amp;$R$7&amp;","</f>
        <v>fhRegains: 1,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2,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3,</v>
      </c>
      <c r="R124" t="str">
        <f>"fhRegains: "&amp;$R$2&amp;","</f>
        <v>fhRegains: 0,</v>
      </c>
      <c r="S124" t="str">
        <f>"fhRegains: "&amp;$R$19&amp;","</f>
        <v>fhRegains: 1,</v>
      </c>
      <c r="T124" t="str">
        <f>"fhRegains: "&amp;$R$17&amp;","</f>
        <v>fhRegains: 3,</v>
      </c>
      <c r="U124" t="str">
        <f>"fhRegains: "&amp;$R$18&amp;","</f>
        <v>fhRegains: 0,</v>
      </c>
      <c r="V124" t="str">
        <f>"fhRegains: "&amp;$R$16&amp;","</f>
        <v>fhRegains: 2,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1,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0,</v>
      </c>
      <c r="G125" t="str">
        <f>"blocks: "&amp;$S$3&amp;","</f>
        <v>blocks: 0,</v>
      </c>
      <c r="H125" t="str">
        <f>"blocks: "&amp;$S$7&amp;","</f>
        <v>blocks: 4,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1,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0,</v>
      </c>
      <c r="C126" t="str">
        <f>"clearances: "&amp;$T$9&amp;","</f>
        <v>clearances: 0,</v>
      </c>
      <c r="D126" t="str">
        <f>"clearances: "&amp;$T$24&amp;","</f>
        <v>clearances: 2,</v>
      </c>
      <c r="E126" t="str">
        <f>"clearances: "&amp;$T$12&amp;","</f>
        <v>clearances: 0,</v>
      </c>
      <c r="F126" t="str">
        <f>"clearances: "&amp;$T$22&amp;","</f>
        <v>clearances: 1,</v>
      </c>
      <c r="G126" t="str">
        <f>"clearances: "&amp;$T$3&amp;","</f>
        <v>clearances: 0,</v>
      </c>
      <c r="H126" t="str">
        <f>"clearances: "&amp;$T$7&amp;","</f>
        <v>clearances: 2,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2,</v>
      </c>
      <c r="M126" t="str">
        <f>"clearances: "&amp;$T$21&amp;","</f>
        <v>clearances: 0,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1,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0,</v>
      </c>
      <c r="C127" t="str">
        <f>"separations: "&amp;$U$9&amp;","</f>
        <v>separations: 0,</v>
      </c>
      <c r="D127" t="str">
        <f>"separations: "&amp;$U$24&amp;","</f>
        <v>separations: 3,</v>
      </c>
      <c r="E127" t="str">
        <f>"separations: "&amp;$U$12&amp;","</f>
        <v>separations: 1,</v>
      </c>
      <c r="F127" t="str">
        <f>"separations: "&amp;$U$22&amp;","</f>
        <v>separations: 1,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0,</v>
      </c>
      <c r="M127" t="str">
        <f>"separations: "&amp;$U$21&amp;","</f>
        <v>separations: 1,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6,</v>
      </c>
      <c r="B128" t="str">
        <f>"headers: "&amp;$V$15&amp;","</f>
        <v>headers: 5,</v>
      </c>
      <c r="C128" t="str">
        <f>"headers: "&amp;$V$9&amp;","</f>
        <v>headers: 1,</v>
      </c>
      <c r="D128" t="str">
        <f>"headers: "&amp;$V$24&amp;","</f>
        <v>headers: 5,</v>
      </c>
      <c r="E128" t="str">
        <f>"headers: "&amp;$V$12&amp;","</f>
        <v>headers: 1,</v>
      </c>
      <c r="F128" t="str">
        <f>"headers: "&amp;$V$22&amp;","</f>
        <v>headers: 21,</v>
      </c>
      <c r="G128" t="str">
        <f>"headers: "&amp;$V$3&amp;","</f>
        <v>headers: 0,</v>
      </c>
      <c r="H128" t="str">
        <f>"headers: "&amp;$V$7&amp;","</f>
        <v>headers: 8,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3,</v>
      </c>
      <c r="M128" t="str">
        <f>"headers: "&amp;$V$21&amp;","</f>
        <v>headers: 6,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0,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0,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1,</v>
      </c>
      <c r="B129" t="str">
        <f>"stopFwdCA: "&amp;$W$15&amp;","</f>
        <v>stopFwdCA: 8,</v>
      </c>
      <c r="C129" t="str">
        <f>"stopFwdCA: "&amp;$W$9&amp;","</f>
        <v>stopFwdCA: 3,</v>
      </c>
      <c r="D129" t="str">
        <f>"stopFwdCA: "&amp;$W$24&amp;","</f>
        <v>stopFwdCA: 2,</v>
      </c>
      <c r="E129" t="str">
        <f>"stopFwdCA: "&amp;$W$12&amp;","</f>
        <v>stopFwdCA: 1,</v>
      </c>
      <c r="F129" t="str">
        <f>"stopFwdCA: "&amp;$W$22&amp;","</f>
        <v>stopFwdCA: 4,</v>
      </c>
      <c r="G129" t="str">
        <f>"stopFwdCA: "&amp;$W$3&amp;","</f>
        <v>stopFwdCA: 1,</v>
      </c>
      <c r="H129" t="str">
        <f>"stopFwdCA: "&amp;$W$7&amp;","</f>
        <v>stopFwdCA: 3,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1,</v>
      </c>
      <c r="M129" t="str">
        <f>"stopFwdCA: "&amp;$W$21&amp;","</f>
        <v>stopFwdCA: 4,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1,</v>
      </c>
      <c r="Q129" t="str">
        <f>"stopFwdCA: "&amp;$W$10&amp;","</f>
        <v>stopFwdCA: 2,</v>
      </c>
      <c r="R129" t="str">
        <f>"stopFwdCA: "&amp;$W$2&amp;","</f>
        <v>stopFwdCA: 0,</v>
      </c>
      <c r="S129" t="str">
        <f>"stopFwdCA: "&amp;$W$19&amp;","</f>
        <v>stopFwdCA: 2,</v>
      </c>
      <c r="T129" t="str">
        <f>"stopFwdCA: "&amp;$W$17&amp;","</f>
        <v>stopFwdCA: 2,</v>
      </c>
      <c r="U129" t="str">
        <f>"stopFwdCA: "&amp;$W$18&amp;","</f>
        <v>stopFwdCA: 0,</v>
      </c>
      <c r="V129" t="str">
        <f>"stopFwdCA: "&amp;$W$16&amp;","</f>
        <v>stopFwdCA: 2,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0.16,</v>
      </c>
      <c r="B130" t="str">
        <f>"totalDefActMin: "&amp;TEXT($Y$15,"0.00")&amp;","</f>
        <v>totalDefActMin: 0.27,</v>
      </c>
      <c r="C130" t="str">
        <f>"totalDefActMin: "&amp;TEXT($Y$9,"0.00")&amp;","</f>
        <v>totalDefActMin: 0.14,</v>
      </c>
      <c r="D130" t="str">
        <f>"totalDefActMin: "&amp;TEXT($Y$24,"0.00")&amp;","</f>
        <v>totalDefActMin: 0.31,</v>
      </c>
      <c r="E130" t="str">
        <f>"totalDefActMin: "&amp;TEXT($Y$12,"0.00")&amp;","</f>
        <v>totalDefActMin: 0.24,</v>
      </c>
      <c r="F130" t="str">
        <f>"totalDefActMin: "&amp;TEXT($Y$22,"0.00")&amp;","</f>
        <v>totalDefActMin: 0.41,</v>
      </c>
      <c r="G130" t="str">
        <f>"totalDefActMin: "&amp;TEXT($Y$3,"0.00")&amp;","</f>
        <v>totalDefActMin: 0.11,</v>
      </c>
      <c r="H130" t="str">
        <f>"totalDefActMin: "&amp;TEXT($Y$7,"0.00")&amp;","</f>
        <v>totalDefActMin: 0.31,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0.23,</v>
      </c>
      <c r="M130" t="str">
        <f>"totalDefActMin: "&amp;TEXT($Y$21,"0.00")&amp;","</f>
        <v>totalDefActMin: 0.23,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0.05,</v>
      </c>
      <c r="Q130" t="str">
        <f>"totalDefActMin: "&amp;TEXT($Y$10,"0.00")&amp;","</f>
        <v>totalDefActMin: 0.10,</v>
      </c>
      <c r="R130" t="str">
        <f>"totalDefActMin: "&amp;TEXT($Y$2,"0.00")&amp;","</f>
        <v>totalDefActMin: 0.00,</v>
      </c>
      <c r="S130" t="str">
        <f>"totalDefActMin: "&amp;TEXT($Y$19,"0.00")&amp;","</f>
        <v>totalDefActMin: 0.10,</v>
      </c>
      <c r="T130" t="str">
        <f>"totalDefActMin: "&amp;TEXT($Y$17,"0.00")&amp;","</f>
        <v>totalDefActMin: 0.18,</v>
      </c>
      <c r="U130" t="str">
        <f>"totalDefActMin: "&amp;TEXT($Y$18,"0.00")&amp;","</f>
        <v>totalDefActMin: 0.00,</v>
      </c>
      <c r="V130" t="str">
        <f>"totalDefActMin: "&amp;TEXT($Y$16,"0.00")&amp;","</f>
        <v>totalDefActMin: 0.10,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27,</v>
      </c>
      <c r="B131" t="str">
        <f t="shared" ref="B131" si="4">"totalActions: "&amp;$Z$4&amp;","</f>
        <v>totalActions: 27,</v>
      </c>
      <c r="C131" t="str">
        <f>"totalActions: "&amp;$Z$9&amp;","</f>
        <v>totalActions: 19,</v>
      </c>
      <c r="D131" t="str">
        <f>"totalActions: "&amp;$Z$24&amp;","</f>
        <v>totalActions: 38,</v>
      </c>
      <c r="E131" t="str">
        <f>"totalActions: "&amp;$Z$12&amp;","</f>
        <v>totalActions: 13,</v>
      </c>
      <c r="F131" t="str">
        <f>"totalActions: "&amp;$Z$22&amp;","</f>
        <v>totalActions: 45,</v>
      </c>
      <c r="G131" t="str">
        <f>"totalActions: "&amp;$Z$3&amp;","</f>
        <v>totalActions: 2,</v>
      </c>
      <c r="H131" t="str">
        <f>"totalActions: "&amp;$Z$7&amp;","</f>
        <v>totalActions: 44,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9,</v>
      </c>
      <c r="M131" t="str">
        <f>"totalActions: "&amp;$Z$21&amp;","</f>
        <v>totalActions: 23,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12,</v>
      </c>
      <c r="Q131" t="str">
        <f>"totalActions: "&amp;$Z$10&amp;","</f>
        <v>totalActions: 18,</v>
      </c>
      <c r="R131" t="str">
        <f>"totalActions: "&amp;$Z$2&amp;","</f>
        <v>totalActions: 0,</v>
      </c>
      <c r="S131" t="str">
        <f>"totalActions: "&amp;$Z$19&amp;","</f>
        <v>totalActions: 11,</v>
      </c>
      <c r="T131" t="str">
        <f>"totalActions: "&amp;$Z$17&amp;","</f>
        <v>totalActions: 10,</v>
      </c>
      <c r="U131" t="str">
        <f>"totalActions: "&amp;$Z$18&amp;","</f>
        <v>totalActions: 0,</v>
      </c>
      <c r="V131" t="str">
        <f>"totalActions: "&amp;$Z$16&amp;","</f>
        <v>totalActions: 17,</v>
      </c>
      <c r="W131" t="str">
        <f>"totalActions: "&amp;$Z$6&amp;","</f>
        <v>totalActions: 0,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class="stat-value-2"&gt;16&lt;/span&gt;&lt;/p&gt;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class="stat-value-2"&gt;4&lt;/span&gt;&lt;/p&gt;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class="stat-value-2"&gt;12&lt;/span&gt;&lt;/p&gt;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class="stat-value-2"&gt;15&lt;/span&gt;&lt;/p&gt;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class="stat-value-2"&gt;4&lt;/span&gt;&lt;/p&gt;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class="stat-value-2"&gt;8&lt;/span&gt;&lt;/p&gt;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class="stat-value-2"&gt;1&lt;/span&gt;&lt;/p&gt;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class="stat-value-2"&gt;16&lt;/span&gt;&lt;/p&gt;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class="stat-value-2"&gt;0&lt;/span&gt;&lt;/p&gt;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class="stat-value-2"&gt;4&lt;/span&gt;&lt;/p&gt;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class="stat-value-2"&gt;9&lt;/span&gt;&lt;/p&gt;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class="stat-value-2"&gt;10&lt;/span&gt;&lt;/p&gt;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class="stat-value-2"&gt;5&lt;/span&gt;&lt;/p&gt;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class="stat-value-2"&gt;3&lt;/span&gt;&lt;/p&gt;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class="stat-value-2"&gt;12&lt;/span&gt;&lt;/p&gt;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class="stat-value-2"&gt;0.24&lt;/span&gt;&lt;/p&gt;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class="stat-value-2"&gt;0.04&lt;/span&gt;&lt;/p&gt;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class="stat-value-2"&gt;0.24&lt;/span&gt;&lt;/p&gt;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class="stat-value-2"&gt;0.20&lt;/span&gt;&lt;/p&gt;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class="stat-value-2"&gt;0.11&lt;/span&gt;&lt;/p&gt;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class="stat-value-2"&gt;0.09&lt;/span&gt;&lt;/p&gt;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class="stat-value-2"&gt;0.11&lt;/span&gt;&lt;/p&gt;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class="stat-value-2"&gt;0.18&lt;/span&gt;&lt;/p&gt;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class="stat-value-2"&gt;0.05&lt;/span&gt;&lt;/p&gt;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class="stat-value-2"&gt;0.16&lt;/span&gt;&lt;/p&gt;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class="stat-value-2"&gt;0.13&lt;/span&gt;&lt;/p&gt;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class="stat-value-2"&gt;0.08&lt;/span&gt;&lt;/p&gt;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class="stat-value-2"&gt;0.08&lt;/span&gt;&lt;/p&gt;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class="stat-value-2"&gt;0.24&lt;/span&gt;&lt;/p&gt;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class="stat-value-2"&gt;1&lt;/span&gt;&lt;/p&gt;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class="stat-value-2"&gt;1&lt;/span&gt;&lt;/p&gt;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class="stat-value-2"&gt;1&lt;/span&gt;&lt;/p&gt;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class="stat-value-2"&gt;1&lt;/span&gt;&lt;/p&gt;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class="stat-value-2"&gt;2&lt;/span&gt;&lt;/p&gt;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class="stat-value-2"&gt;3&lt;/span&gt;&lt;/p&gt;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class="stat-value-2"&gt;3&lt;/span&gt;&lt;/p&gt;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class="stat-value-2"&gt;7&lt;/span&gt;&lt;/p&gt;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class="stat-value-2"&gt;3&lt;/span&gt;&lt;/p&gt;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class="stat-value-2"&gt;3&lt;/span&gt;&lt;/p&gt;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class="stat-value-2"&gt;6&lt;/span&gt;&lt;/p&gt;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class="stat-value-2"&gt;0&lt;/span&gt;&lt;/p&gt;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class="stat-value-2"&gt;3&lt;/span&gt;&lt;/p&gt;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class="stat-value-2"&gt;0&lt;/span&gt;&lt;/p&gt;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class="stat-value-2"&gt;1&lt;/span&gt;&lt;/p&gt;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class="stat-value-2"&gt;1&lt;/span&gt;&lt;/p&gt;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class="stat-value-2"&gt;3&lt;/span&gt;&lt;/p&gt;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class="stat-value-2"&gt;2&lt;/span&gt;&lt;/p&gt;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class="stat-value-2"&gt;2&lt;/span&gt;&lt;/p&gt;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class="stat-value-2"&gt;1&lt;/span&gt;&lt;/p&gt;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class="stat-value-2"&gt;1&lt;/span&gt;&lt;/p&gt;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class="stat-value-2"&gt;3&lt;/span&gt;&lt;/p&gt;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class="stat-value-2"&gt;3&lt;/span&gt;&lt;/p&gt;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class="stat-value-2"&gt;3&lt;/span&gt;&lt;/p&gt;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class="stat-value-2"&gt;1&lt;/span&gt;&lt;/p&gt;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class="stat-value-2"&gt;1&lt;/span&gt;&lt;/p&gt;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class="stat-value-2"&gt;4&lt;/span&gt;&lt;/p&gt;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class="stat-value-2"&gt;4&lt;/span&gt;&lt;/p&gt;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class="stat-value-2"&gt;1&lt;/span&gt;&lt;/p&gt;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class="stat-value-2"&gt;4&lt;/span&gt;&lt;/p&gt;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class="stat-value-2"&gt;0&lt;/span&gt;&lt;/p&gt;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class="stat-value-2"&gt;3&lt;/span&gt;&lt;/p&gt;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class="stat-value-2"&gt;1&lt;/span&gt;&lt;/p&gt;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class="stat-value-2"&gt;0&lt;/span&gt;&lt;/p&gt;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class="stat-value-2"&gt;0&lt;/span&gt;&lt;/p&gt;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class="stat-value-2"&gt;1&lt;/span&gt;&lt;/p&gt;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class="stat-value-2"&gt;6&lt;/span&gt;&lt;/p&gt;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class="stat-value-2"&gt;1&lt;/span&gt;&lt;/p&gt;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class="stat-value-2"&gt;1&lt;/span&gt;&lt;/p&gt;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class="stat-value-2"&gt;1&lt;/span&gt;&lt;/p&gt;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class="stat-value-2"&gt;2&lt;/span&gt;&lt;/p&gt;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class="stat-value-2"&gt;1&lt;/span&gt;&lt;/p&gt;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class="stat-value-2"&gt;0&lt;/span&gt;&lt;/p&gt;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class="stat-value-2"&gt;0&lt;/span&gt;&lt;/p&gt;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class="stat-value-2"&gt;0&lt;/span&gt;&lt;/p&gt;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class="stat-value-2"&gt;0&lt;/span&gt;&lt;/p&gt;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class="stat-value-2"&gt;5&lt;/span&gt;&lt;/p&gt;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class="stat-value-2"&gt;3&lt;/span&gt;&lt;/p&gt;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class="stat-value-2"&gt;2&lt;/span&gt;&lt;/p&gt;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class="stat-value-2"&gt;0&lt;/span&gt;&lt;/p&gt;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class="stat-value-2"&gt;2&lt;/span&gt;&lt;/p&gt;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class="stat-value-2"&gt;1&lt;/span&gt;&lt;/p&gt;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class="stat-value-2"&gt;0&lt;/span&gt;&lt;/p&gt;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class="stat-value-2"&gt;3&lt;/span&gt;&lt;/p&gt;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class="stat-value-2"&gt;1&lt;/span&gt;&lt;/p&gt;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class="stat-value-2"&gt;1&lt;/span&gt;&lt;/p&gt;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class="stat-value-2"&gt;1&lt;/span&gt;&lt;/p&gt;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class="stat-value-2"&gt;1&lt;/span&gt;&lt;/p&gt;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class="stat-value-2"&gt;3&lt;/span&gt;&lt;/p&gt;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class="stat-value-2"&gt;3&lt;/span&gt;&lt;/p&gt;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class="stat-value-2"&gt;1&lt;/span&gt;&lt;/p&gt;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class="stat-value-2"&gt;2&lt;/span&gt;&lt;/p&gt;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class="stat-value-2"&gt;2&lt;/span&gt;&lt;/p&gt;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class="stat-value-2"&gt;1&lt;/span&gt;&lt;/p&gt;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class="stat-value-2"&gt;2&lt;/span&gt;&lt;/p&gt;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class="stat-value-2"&gt;0&lt;/span&gt;&lt;/p&gt;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class="stat-value-2"&gt;1&lt;/span&gt;&lt;/p&gt;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class="stat-value-2"&gt;11&lt;/span&gt;&lt;/p&gt;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class="stat-value-2"&gt;24&lt;/span&gt;&lt;/p&gt;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class="stat-value-2"&gt;7&lt;/span&gt;&lt;/p&gt;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class="stat-value-2"&gt;23&lt;/span&gt;&lt;/p&gt;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class="stat-value-2"&gt;9&lt;/span&gt;&lt;/p&gt;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class="stat-value-2"&gt;37&lt;/span&gt;&lt;/p&gt;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class="stat-value-2"&gt;1&lt;/span&gt;&lt;/p&gt;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class="stat-value-2"&gt;28&lt;/span&gt;&lt;/p&gt;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class="stat-value-2"&gt;9&lt;/span&gt;&lt;/p&gt;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class="stat-value-2"&gt;19&lt;/span&gt;&lt;/p&gt;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class="stat-value-2"&gt;3&lt;/span&gt;&lt;/p&gt;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class="stat-value-2"&gt;8&lt;/span&gt;&lt;/p&gt;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class="stat-value-2"&gt;6&lt;/span&gt;&lt;/p&gt;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class="stat-value-2"&gt;7&lt;/span&gt;&lt;/p&gt;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class="stat-value-2"&gt;5&lt;/span&gt;&lt;/p&gt;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class="stat-value-2"&gt;0.16&lt;/span&gt;&lt;/p&gt;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class="stat-value-2"&gt;0.27&lt;/span&gt;&lt;/p&gt;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class="stat-value-2"&gt;0.14&lt;/span&gt;&lt;/p&gt;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class="stat-value-2"&gt;0.31&lt;/span&gt;&lt;/p&gt;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class="stat-value-2"&gt;0.24&lt;/span&gt;&lt;/p&gt;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class="stat-value-2"&gt;0.41&lt;/span&gt;&lt;/p&gt;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class="stat-value-2"&gt;0.11&lt;/span&gt;&lt;/p&gt;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class="stat-value-2"&gt;0.31&lt;/span&gt;&lt;/p&gt;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class="stat-value-2"&gt;0.23&lt;/span&gt;&lt;/p&gt;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class="stat-value-2"&gt;0.23&lt;/span&gt;&lt;/p&gt;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class="stat-value-2"&gt;0.05&lt;/span&gt;&lt;/p&gt;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class="stat-value-2"&gt;0.10&lt;/span&gt;&lt;/p&gt;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class="stat-value-2"&gt;0.18&lt;/span&gt;&lt;/p&gt;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class="stat-value-2"&gt;1&lt;/span&gt;&lt;/p&gt;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class="stat-value-2"&gt;0&lt;/span&gt;&lt;/p&gt;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class="stat-value-2"&gt;5&lt;/span&gt;&lt;/p&gt;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class="stat-value-2"&gt;3&lt;/span&gt;&lt;/p&gt;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class="stat-value-2"&gt;3&lt;/span&gt;&lt;/p&gt;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class="stat-value-2"&gt;5&lt;/span&gt;&lt;/p&gt;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class="stat-value-2"&gt;2&lt;/span&gt;&lt;/p&gt;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class="stat-value-2"&gt;1&lt;/span&gt;&lt;/p&gt;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class="stat-value-2"&gt;2&lt;/span&gt;&lt;/p&gt;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class="stat-value-2"&gt;2&lt;/span&gt;&lt;/p&gt;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class="stat-value-2"&gt;0&lt;/span&gt;&lt;/p&gt;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class="stat-value-2"&gt;1&lt;/span&gt;&lt;/p&gt;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class="stat-value-2"&gt;3&lt;/span&gt;&lt;/p&gt;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class="stat-value-2"&gt;5&lt;/span&gt;&lt;/p&gt;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class="stat-value-2"&gt;1&lt;/span&gt;&lt;/p&gt;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class="stat-value-2"&gt;2&lt;/span&gt;&lt;/p&gt;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class="stat-value-2"&gt;3&lt;/span&gt;&lt;/p&gt;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class="stat-value-2"&gt;5&lt;/span&gt;&lt;/p&gt;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class="stat-value-2"&gt;2&lt;/span&gt;&lt;/p&gt;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class="stat-value-2"&gt;3&lt;/span&gt;&lt;/p&gt;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class="stat-value-2"&gt;1&lt;/span&gt;&lt;/p&gt;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class="stat-value-2"&gt;1&lt;/span&gt;&lt;/p&gt;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class="stat-value-2"&gt;1&lt;/span&gt;&lt;/p&gt;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class="stat-value-2"&gt;0&lt;/span&gt;&lt;/p&gt;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class="stat-value-2"&gt;1&lt;/span&gt;&lt;/p&gt;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class="stat-value-2"&gt;4&lt;/span&gt;&lt;/p&gt;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class="stat-value-2"&gt;2&lt;/span&gt;&lt;/p&gt;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class="stat-value-2"&gt;4&lt;/span&gt;&lt;/p&gt;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class="stat-value-2"&gt;3&lt;/span&gt;&lt;/p&gt;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class="stat-value-2"&gt;4&lt;/span&gt;&lt;/p&gt;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class="stat-value-2"&gt;1&lt;/span&gt;&lt;/p&gt;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class="stat-value-2"&gt;2&lt;/span&gt;&lt;/p&gt;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class="stat-value-2"&gt;3&lt;/span&gt;&lt;/p&gt;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class="stat-value-2"&gt;1&lt;/span&gt;&lt;/p&gt;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class="stat-value-2"&gt;3&lt;/span&gt;&lt;/p&gt;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class="stat-value-2"&gt;2&lt;/span&gt;&lt;/p&gt;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class="stat-value-2"&gt;1&lt;/span&gt;&lt;/p&gt;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class="stat-value-2"&gt;0&lt;/span&gt;&lt;/p&gt;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class="stat-value-2"&gt;4&lt;/span&gt;&lt;/p&gt;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class="stat-value-2"&gt;1&lt;/span&gt;&lt;/p&gt;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class="stat-value-2"&gt;0&lt;/span&gt;&lt;/p&gt;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class="stat-value-2"&gt;0&lt;/span&gt;&lt;/p&gt;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class="stat-value-2"&gt;2&lt;/span&gt;&lt;/p&gt;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class="stat-value-2"&gt;1&lt;/span&gt;&lt;/p&gt;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class="stat-value-2"&gt;2&lt;/span&gt;&lt;/p&gt;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class="stat-value-2"&gt;2&lt;/span&gt;&lt;/p&gt;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class="stat-value-2"&gt;0&lt;/span&gt;&lt;/p&gt;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class="stat-value-2"&gt;1&lt;/span&gt;&lt;/p&gt;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class="stat-value-2"&gt;0&lt;/span&gt;&lt;/p&gt;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class="stat-value-2"&gt;3&lt;/span&gt;&lt;/p&gt;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class="stat-value-2"&gt;1&lt;/span&gt;&lt;/p&gt;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class="stat-value-2"&gt;1&lt;/span&gt;&lt;/p&gt;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class="stat-value-2"&gt;0&lt;/span&gt;&lt;/p&gt;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class="stat-value-2"&gt;1&lt;/span&gt;&lt;/p&gt;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class="stat-value-2"&gt;6&lt;/span&gt;&lt;/p&gt;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class="stat-value-2"&gt;5&lt;/span&gt;&lt;/p&gt;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class="stat-value-2"&gt;1&lt;/span&gt;&lt;/p&gt;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class="stat-value-2"&gt;5&lt;/span&gt;&lt;/p&gt;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class="stat-value-2"&gt;1&lt;/span&gt;&lt;/p&gt;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class="stat-value-2"&gt;21&lt;/span&gt;&lt;/p&gt;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class="stat-value-2"&gt;8&lt;/span&gt;&lt;/p&gt;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class="stat-value-2"&gt;3&lt;/span&gt;&lt;/p&gt;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class="stat-value-2"&gt;6&lt;/span&gt;&lt;/p&gt;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class="stat-value-2"&gt;0&lt;/span&gt;&lt;/p&gt;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class="stat-value-2"&gt;0&lt;/span&gt;&lt;/p&gt;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class="stat-value-2"&gt;1&lt;/span&gt;&lt;/p&gt;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class="stat-value-2"&gt;8&lt;/span&gt;&lt;/p&gt;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class="stat-value-2"&gt;3&lt;/span&gt;&lt;/p&gt;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class="stat-value-2"&gt;2&lt;/span&gt;&lt;/p&gt;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class="stat-value-2"&gt;1&lt;/span&gt;&lt;/p&gt;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class="stat-value-2"&gt;4&lt;/span&gt;&lt;/p&gt;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class="stat-value-2"&gt;1&lt;/span&gt;&lt;/p&gt;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class="stat-value-2"&gt;3&lt;/span&gt;&lt;/p&gt;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class="stat-value-2"&gt;1&lt;/span&gt;&lt;/p&gt;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class="stat-value-2"&gt;4&lt;/span&gt;&lt;/p&gt;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class="stat-value-2"&gt;1&lt;/span&gt;&lt;/p&gt;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class="stat-value-2"&gt;2&lt;/span&gt;&lt;/p&gt;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class="stat-value-2"&gt;2&lt;/span&gt;&lt;/p&gt;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class="stat-value-2"&gt;2&lt;/span&gt;&lt;/p&gt;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class="stat-value-2"&gt;2&lt;/span&gt;&lt;/p&gt;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B6A3-D1BB-4506-8BC3-4B56A5C939C7}">
  <dimension ref="A1:AT157"/>
  <sheetViews>
    <sheetView topLeftCell="A88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 s="1">
        <f t="shared" ref="O3:O24" si="0">IFERROR(N3/B3,0)</f>
        <v>0.14285714285714285</v>
      </c>
      <c r="P3">
        <v>0</v>
      </c>
      <c r="Q3">
        <v>1</v>
      </c>
      <c r="R3">
        <v>1</v>
      </c>
      <c r="S3">
        <v>0</v>
      </c>
      <c r="T3">
        <v>0</v>
      </c>
      <c r="U3">
        <v>2</v>
      </c>
      <c r="V3">
        <v>0</v>
      </c>
      <c r="W3">
        <v>0</v>
      </c>
      <c r="X3">
        <v>4</v>
      </c>
      <c r="Y3" s="1">
        <f t="shared" ref="Y3:Y24" si="1">IFERROR(X3/B3,0)</f>
        <v>0.5714285714285714</v>
      </c>
      <c r="Z3">
        <v>5</v>
      </c>
      <c r="AA3" s="1">
        <f t="shared" ref="AA3:AA24" si="2">IFERROR(Z3/B3,0)</f>
        <v>0.7142857142857143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7&lt;/td&gt;&lt;td&gt;0&lt;/td&gt;&lt;td&gt;0&lt;/td&gt;&lt;td&gt;0&lt;/td&gt;&lt;td&gt;0&lt;/td&gt;&lt;td&gt;1&lt;/td&gt;&lt;td&gt;0&lt;/td&gt;&lt;td&gt;0&lt;/td&gt;&lt;td&gt;0&lt;/td&gt;&lt;td&gt;1&lt;/td&gt;&lt;td&gt;0&lt;/td&gt;&lt;td&gt;0&lt;/td&gt;&lt;td&gt;1&lt;/td&gt;&lt;td&gt;0.14&lt;/td&gt;&lt;td&gt;5&lt;/td&gt;&lt;td&gt;0.71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7&lt;/td&gt;&lt;td&gt;0&lt;/td&gt;&lt;td&gt;1&lt;/td&gt;&lt;td&gt;1&lt;/td&gt;&lt;td&gt;0&lt;/td&gt;&lt;td&gt;0&lt;/td&gt;&lt;td&gt;2&lt;/td&gt;&lt;td&gt;0&lt;/td&gt;&lt;td&gt;0&lt;/td&gt;&lt;td&gt;4&lt;/td&gt;&lt;td&gt;0.57&lt;/td&gt;&lt;td&gt;5&lt;/td&gt;&lt;td&gt;0.71&lt;/td&gt;&lt;/tr&gt;</v>
      </c>
    </row>
    <row r="4" spans="1:46" x14ac:dyDescent="0.3">
      <c r="A4" t="s">
        <v>27</v>
      </c>
      <c r="B4">
        <v>43</v>
      </c>
      <c r="C4">
        <v>1</v>
      </c>
      <c r="D4">
        <v>0</v>
      </c>
      <c r="E4">
        <v>0</v>
      </c>
      <c r="F4">
        <v>4</v>
      </c>
      <c r="G4">
        <v>0</v>
      </c>
      <c r="H4">
        <v>0</v>
      </c>
      <c r="I4">
        <v>1</v>
      </c>
      <c r="J4">
        <v>6</v>
      </c>
      <c r="K4">
        <v>4</v>
      </c>
      <c r="L4">
        <v>2</v>
      </c>
      <c r="M4">
        <v>2</v>
      </c>
      <c r="N4">
        <v>20</v>
      </c>
      <c r="O4" s="1">
        <f t="shared" si="0"/>
        <v>0.46511627906976744</v>
      </c>
      <c r="P4">
        <v>0</v>
      </c>
      <c r="Q4">
        <v>0</v>
      </c>
      <c r="R4">
        <v>1</v>
      </c>
      <c r="S4">
        <v>0</v>
      </c>
      <c r="T4">
        <v>0</v>
      </c>
      <c r="U4">
        <v>2</v>
      </c>
      <c r="V4">
        <v>2</v>
      </c>
      <c r="W4">
        <v>3</v>
      </c>
      <c r="X4">
        <v>8</v>
      </c>
      <c r="Y4" s="1">
        <f t="shared" si="1"/>
        <v>0.18604651162790697</v>
      </c>
      <c r="Z4">
        <v>28</v>
      </c>
      <c r="AA4" s="1">
        <f t="shared" si="2"/>
        <v>0.65116279069767447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43&lt;/td&gt;&lt;td&gt;1&lt;/td&gt;&lt;td&gt;0&lt;/td&gt;&lt;td&gt;0&lt;/td&gt;&lt;td&gt;4&lt;/td&gt;&lt;td&gt;0&lt;/td&gt;&lt;td&gt;0&lt;/td&gt;&lt;td&gt;1&lt;/td&gt;&lt;td&gt;6&lt;/td&gt;&lt;td&gt;4&lt;/td&gt;&lt;td&gt;2&lt;/td&gt;&lt;td&gt;2&lt;/td&gt;&lt;td&gt;20&lt;/td&gt;&lt;td&gt;0.47&lt;/td&gt;&lt;td&gt;28&lt;/td&gt;&lt;td&gt;0.65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43&lt;/td&gt;&lt;td&gt;0&lt;/td&gt;&lt;td&gt;0&lt;/td&gt;&lt;td&gt;1&lt;/td&gt;&lt;td&gt;0&lt;/td&gt;&lt;td&gt;0&lt;/td&gt;&lt;td&gt;2&lt;/td&gt;&lt;td&gt;2&lt;/td&gt;&lt;td&gt;3&lt;/td&gt;&lt;td&gt;8&lt;/td&gt;&lt;td&gt;0.19&lt;/td&gt;&lt;td&gt;28&lt;/td&gt;&lt;td&gt;0.65&lt;/td&gt;&lt;/tr&gt;</v>
      </c>
    </row>
    <row r="5" spans="1:46" x14ac:dyDescent="0.3">
      <c r="A5" t="s">
        <v>28</v>
      </c>
      <c r="B5">
        <v>67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1</v>
      </c>
      <c r="N5">
        <v>9</v>
      </c>
      <c r="O5" s="1">
        <f t="shared" si="0"/>
        <v>0.13432835820895522</v>
      </c>
      <c r="P5">
        <v>0</v>
      </c>
      <c r="Q5">
        <v>5</v>
      </c>
      <c r="R5">
        <v>1</v>
      </c>
      <c r="S5">
        <v>1</v>
      </c>
      <c r="T5">
        <v>2</v>
      </c>
      <c r="U5">
        <v>1</v>
      </c>
      <c r="V5">
        <v>1</v>
      </c>
      <c r="W5">
        <v>8</v>
      </c>
      <c r="X5">
        <v>19</v>
      </c>
      <c r="Y5" s="1">
        <f t="shared" si="1"/>
        <v>0.28358208955223879</v>
      </c>
      <c r="Z5">
        <v>28</v>
      </c>
      <c r="AA5" s="1">
        <f t="shared" si="2"/>
        <v>0.41791044776119401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67&lt;/td&gt;&lt;td&gt;0&lt;/td&gt;&lt;td&gt;0&lt;/td&gt;&lt;td&gt;0&lt;/td&gt;&lt;td&gt;4&lt;/td&gt;&lt;td&gt;0&lt;/td&gt;&lt;td&gt;0&lt;/td&gt;&lt;td&gt;0&lt;/td&gt;&lt;td&gt;2&lt;/td&gt;&lt;td&gt;2&lt;/td&gt;&lt;td&gt;0&lt;/td&gt;&lt;td&gt;1&lt;/td&gt;&lt;td&gt;9&lt;/td&gt;&lt;td&gt;0.13&lt;/td&gt;&lt;td&gt;28&lt;/td&gt;&lt;td&gt;0.42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67&lt;/td&gt;&lt;td&gt;0&lt;/td&gt;&lt;td&gt;5&lt;/td&gt;&lt;td&gt;1&lt;/td&gt;&lt;td&gt;1&lt;/td&gt;&lt;td&gt;2&lt;/td&gt;&lt;td&gt;1&lt;/td&gt;&lt;td&gt;1&lt;/td&gt;&lt;td&gt;8&lt;/td&gt;&lt;td&gt;19&lt;/td&gt;&lt;td&gt;0.28&lt;/td&gt;&lt;td&gt;28&lt;/td&gt;&lt;td&gt;0.42&lt;/td&gt;&lt;/tr&gt;</v>
      </c>
    </row>
    <row r="6" spans="1:46" x14ac:dyDescent="0.3">
      <c r="A6" t="s">
        <v>29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3</v>
      </c>
      <c r="Y6" s="1">
        <f t="shared" si="1"/>
        <v>0.42857142857142855</v>
      </c>
      <c r="Z6">
        <v>3</v>
      </c>
      <c r="AA6" s="1">
        <f t="shared" si="2"/>
        <v>0.42857142857142855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3&lt;/td&gt;&lt;td&gt;0.43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7&lt;/td&gt;&lt;td&gt;0&lt;/td&gt;&lt;td&gt;1&lt;/td&gt;&lt;td&gt;0&lt;/td&gt;&lt;td&gt;0&lt;/td&gt;&lt;td&gt;0&lt;/td&gt;&lt;td&gt;0&lt;/td&gt;&lt;td&gt;0&lt;/td&gt;&lt;td&gt;2&lt;/td&gt;&lt;td&gt;3&lt;/td&gt;&lt;td&gt;0.43&lt;/td&gt;&lt;td&gt;3&lt;/td&gt;&lt;td&gt;0.43&lt;/td&gt;&lt;/tr&gt;</v>
      </c>
    </row>
    <row r="7" spans="1:46" x14ac:dyDescent="0.3">
      <c r="A7" t="s">
        <v>30</v>
      </c>
      <c r="B7">
        <v>61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2</v>
      </c>
      <c r="O7" s="1">
        <f t="shared" si="0"/>
        <v>3.2786885245901641E-2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4</v>
      </c>
      <c r="X7">
        <v>7</v>
      </c>
      <c r="Y7" s="1">
        <f t="shared" si="1"/>
        <v>0.11475409836065574</v>
      </c>
      <c r="Z7">
        <v>9</v>
      </c>
      <c r="AA7" s="1">
        <f t="shared" si="2"/>
        <v>0.14754098360655737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61&lt;/td&gt;&lt;td&gt;0&lt;/td&gt;&lt;td&gt;0&lt;/td&gt;&lt;td&gt;0&lt;/td&gt;&lt;td&gt;1&lt;/td&gt;&lt;td&gt;0&lt;/td&gt;&lt;td&gt;0&lt;/td&gt;&lt;td&gt;0&lt;/td&gt;&lt;td&gt;0&lt;/td&gt;&lt;td&gt;0&lt;/td&gt;&lt;td&gt;1&lt;/td&gt;&lt;td&gt;0&lt;/td&gt;&lt;td&gt;2&lt;/td&gt;&lt;td&gt;0.03&lt;/td&gt;&lt;td&gt;9&lt;/td&gt;&lt;td&gt;0.15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61&lt;/td&gt;&lt;td&gt;1&lt;/td&gt;&lt;td&gt;0&lt;/td&gt;&lt;td&gt;0&lt;/td&gt;&lt;td&gt;1&lt;/td&gt;&lt;td&gt;0&lt;/td&gt;&lt;td&gt;0&lt;/td&gt;&lt;td&gt;1&lt;/td&gt;&lt;td&gt;4&lt;/td&gt;&lt;td&gt;7&lt;/td&gt;&lt;td&gt;0.11&lt;/td&gt;&lt;td&gt;9&lt;/td&gt;&lt;td&gt;0.15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90</v>
      </c>
      <c r="C9">
        <v>0</v>
      </c>
      <c r="D9">
        <v>1</v>
      </c>
      <c r="E9">
        <v>1</v>
      </c>
      <c r="F9">
        <v>8</v>
      </c>
      <c r="G9">
        <v>0</v>
      </c>
      <c r="H9">
        <v>2</v>
      </c>
      <c r="I9">
        <v>3</v>
      </c>
      <c r="J9">
        <v>1</v>
      </c>
      <c r="K9">
        <v>5</v>
      </c>
      <c r="L9">
        <v>0</v>
      </c>
      <c r="M9">
        <v>0</v>
      </c>
      <c r="N9">
        <v>21</v>
      </c>
      <c r="O9" s="1">
        <f t="shared" si="0"/>
        <v>0.23333333333333334</v>
      </c>
      <c r="P9">
        <v>1</v>
      </c>
      <c r="Q9">
        <v>6</v>
      </c>
      <c r="R9">
        <v>2</v>
      </c>
      <c r="S9">
        <v>0</v>
      </c>
      <c r="T9">
        <v>1</v>
      </c>
      <c r="U9">
        <v>1</v>
      </c>
      <c r="V9">
        <v>4</v>
      </c>
      <c r="W9">
        <v>5</v>
      </c>
      <c r="X9">
        <v>20</v>
      </c>
      <c r="Y9" s="1">
        <f t="shared" si="1"/>
        <v>0.22222222222222221</v>
      </c>
      <c r="Z9">
        <v>41</v>
      </c>
      <c r="AA9" s="1">
        <f t="shared" si="2"/>
        <v>0.45555555555555555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90&lt;/td&gt;&lt;td&gt;0&lt;/td&gt;&lt;td&gt;1&lt;/td&gt;&lt;td&gt;1&lt;/td&gt;&lt;td&gt;8&lt;/td&gt;&lt;td&gt;0&lt;/td&gt;&lt;td&gt;2&lt;/td&gt;&lt;td&gt;3&lt;/td&gt;&lt;td&gt;1&lt;/td&gt;&lt;td&gt;5&lt;/td&gt;&lt;td&gt;0&lt;/td&gt;&lt;td&gt;0&lt;/td&gt;&lt;td&gt;21&lt;/td&gt;&lt;td&gt;0.23&lt;/td&gt;&lt;td&gt;41&lt;/td&gt;&lt;td&gt;0.46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90&lt;/td&gt;&lt;td&gt;1&lt;/td&gt;&lt;td&gt;6&lt;/td&gt;&lt;td&gt;2&lt;/td&gt;&lt;td&gt;0&lt;/td&gt;&lt;td&gt;1&lt;/td&gt;&lt;td&gt;1&lt;/td&gt;&lt;td&gt;4&lt;/td&gt;&lt;td&gt;5&lt;/td&gt;&lt;td&gt;20&lt;/td&gt;&lt;td&gt;0.22&lt;/td&gt;&lt;td&gt;41&lt;/td&gt;&lt;td&gt;0.46&lt;/td&gt;&lt;/tr&gt;</v>
      </c>
    </row>
    <row r="10" spans="1:46" x14ac:dyDescent="0.3">
      <c r="A10" t="s">
        <v>33</v>
      </c>
      <c r="B10">
        <v>56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1">
        <f t="shared" si="0"/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3</v>
      </c>
      <c r="Y10" s="1">
        <f t="shared" si="1"/>
        <v>5.3571428571428568E-2</v>
      </c>
      <c r="Z10">
        <v>3</v>
      </c>
      <c r="AA10" s="1">
        <f t="shared" si="2"/>
        <v>5.3571428571428568E-2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56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3&lt;/td&gt;&lt;td&gt;0.05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56&lt;/td&gt;&lt;td&gt;1&lt;/td&gt;&lt;td&gt;0&lt;/td&gt;&lt;td&gt;0&lt;/td&gt;&lt;td&gt;0&lt;/td&gt;&lt;td&gt;0&lt;/td&gt;&lt;td&gt;0&lt;/td&gt;&lt;td&gt;0&lt;/td&gt;&lt;td&gt;2&lt;/td&gt;&lt;td&gt;3&lt;/td&gt;&lt;td&gt;0.05&lt;/td&gt;&lt;td&gt;3&lt;/td&gt;&lt;td&gt;0.05&lt;/td&gt;&lt;/tr&gt;</v>
      </c>
    </row>
    <row r="11" spans="1:46" x14ac:dyDescent="0.3">
      <c r="A11" t="s">
        <v>34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f t="shared" si="0"/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f t="shared" si="1"/>
        <v>0</v>
      </c>
      <c r="Z11"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7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2" spans="1:46" x14ac:dyDescent="0.3">
      <c r="A12" t="s">
        <v>35</v>
      </c>
      <c r="B12">
        <v>41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 s="1">
        <f t="shared" si="0"/>
        <v>7.3170731707317069E-2</v>
      </c>
      <c r="P12">
        <v>0</v>
      </c>
      <c r="Q12">
        <v>4</v>
      </c>
      <c r="R12">
        <v>0</v>
      </c>
      <c r="S12">
        <v>0</v>
      </c>
      <c r="T12">
        <v>0</v>
      </c>
      <c r="U12">
        <v>2</v>
      </c>
      <c r="V12">
        <v>2</v>
      </c>
      <c r="W12">
        <v>4</v>
      </c>
      <c r="X12">
        <v>12</v>
      </c>
      <c r="Y12" s="1">
        <f t="shared" si="1"/>
        <v>0.29268292682926828</v>
      </c>
      <c r="Z12">
        <v>15</v>
      </c>
      <c r="AA12" s="1">
        <f t="shared" si="2"/>
        <v>0.36585365853658536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41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0.07&lt;/td&gt;&lt;td&gt;15&lt;/td&gt;&lt;td&gt;0.37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41&lt;/td&gt;&lt;td&gt;0&lt;/td&gt;&lt;td&gt;4&lt;/td&gt;&lt;td&gt;0&lt;/td&gt;&lt;td&gt;0&lt;/td&gt;&lt;td&gt;0&lt;/td&gt;&lt;td&gt;2&lt;/td&gt;&lt;td&gt;2&lt;/td&gt;&lt;td&gt;4&lt;/td&gt;&lt;td&gt;12&lt;/td&gt;&lt;td&gt;0.29&lt;/td&gt;&lt;td&gt;15&lt;/td&gt;&lt;td&gt;0.37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 s="1">
        <f t="shared" si="0"/>
        <v>6.8965517241379309E-2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2</v>
      </c>
      <c r="Y14" s="1">
        <f t="shared" si="1"/>
        <v>6.8965517241379309E-2</v>
      </c>
      <c r="Z14">
        <v>4</v>
      </c>
      <c r="AA14" s="1">
        <f t="shared" si="2"/>
        <v>0.13793103448275862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29&lt;/td&gt;&lt;td&gt;0&lt;/td&gt;&lt;td&gt;0&lt;/td&gt;&lt;td&gt;0&lt;/td&gt;&lt;td&gt;0&lt;/td&gt;&lt;td&gt;0&lt;/td&gt;&lt;td&gt;2&lt;/td&gt;&lt;td&gt;0&lt;/td&gt;&lt;td&gt;0&lt;/td&gt;&lt;td&gt;0&lt;/td&gt;&lt;td&gt;0&lt;/td&gt;&lt;td&gt;0&lt;/td&gt;&lt;td&gt;2&lt;/td&gt;&lt;td&gt;0.07&lt;/td&gt;&lt;td&gt;4&lt;/td&gt;&lt;td&gt;0.14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29&lt;/td&gt;&lt;td&gt;0&lt;/td&gt;&lt;td&gt;0&lt;/td&gt;&lt;td&gt;0&lt;/td&gt;&lt;td&gt;1&lt;/td&gt;&lt;td&gt;0&lt;/td&gt;&lt;td&gt;0&lt;/td&gt;&lt;td&gt;0&lt;/td&gt;&lt;td&gt;1&lt;/td&gt;&lt;td&gt;2&lt;/td&gt;&lt;td&gt;0.07&lt;/td&gt;&lt;td&gt;4&lt;/td&gt;&lt;td&gt;0.14&lt;/td&gt;&lt;/tr&gt;</v>
      </c>
    </row>
    <row r="15" spans="1:46" x14ac:dyDescent="0.3">
      <c r="A15" t="s">
        <v>38</v>
      </c>
      <c r="B15">
        <v>90</v>
      </c>
      <c r="C15">
        <v>1</v>
      </c>
      <c r="D15">
        <v>0</v>
      </c>
      <c r="E15">
        <v>0</v>
      </c>
      <c r="F15">
        <v>2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6</v>
      </c>
      <c r="O15" s="1">
        <f t="shared" si="0"/>
        <v>6.6666666666666666E-2</v>
      </c>
      <c r="P15">
        <v>2</v>
      </c>
      <c r="Q15">
        <v>5</v>
      </c>
      <c r="R15">
        <v>1</v>
      </c>
      <c r="S15">
        <v>3</v>
      </c>
      <c r="T15">
        <v>4</v>
      </c>
      <c r="U15">
        <v>1</v>
      </c>
      <c r="V15">
        <v>8</v>
      </c>
      <c r="W15">
        <v>5</v>
      </c>
      <c r="X15">
        <v>29</v>
      </c>
      <c r="Y15" s="1">
        <f t="shared" si="1"/>
        <v>0.32222222222222224</v>
      </c>
      <c r="Z15">
        <v>35</v>
      </c>
      <c r="AA15" s="1">
        <f t="shared" si="2"/>
        <v>0.3888888888888889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1&lt;/td&gt;&lt;td&gt;0&lt;/td&gt;&lt;td&gt;0&lt;/td&gt;&lt;td&gt;2&lt;/td&gt;&lt;td&gt;0&lt;/td&gt;&lt;td&gt;0&lt;/td&gt;&lt;td&gt;1&lt;/td&gt;&lt;td&gt;0&lt;/td&gt;&lt;td&gt;1&lt;/td&gt;&lt;td&gt;1&lt;/td&gt;&lt;td&gt;0&lt;/td&gt;&lt;td&gt;6&lt;/td&gt;&lt;td&gt;0.07&lt;/td&gt;&lt;td&gt;35&lt;/td&gt;&lt;td&gt;0.39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2&lt;/td&gt;&lt;td&gt;5&lt;/td&gt;&lt;td&gt;1&lt;/td&gt;&lt;td&gt;3&lt;/td&gt;&lt;td&gt;4&lt;/td&gt;&lt;td&gt;1&lt;/td&gt;&lt;td&gt;8&lt;/td&gt;&lt;td&gt;5&lt;/td&gt;&lt;td&gt;29&lt;/td&gt;&lt;td&gt;0.32&lt;/td&gt;&lt;td&gt;35&lt;/td&gt;&lt;td&gt;0.39&lt;/td&gt;&lt;/tr&gt;</v>
      </c>
    </row>
    <row r="16" spans="1:46" x14ac:dyDescent="0.3">
      <c r="A16" t="s">
        <v>39</v>
      </c>
      <c r="B16">
        <v>31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3</v>
      </c>
      <c r="K16">
        <v>1</v>
      </c>
      <c r="L16">
        <v>0</v>
      </c>
      <c r="M16">
        <v>0</v>
      </c>
      <c r="N16">
        <v>5</v>
      </c>
      <c r="O16" s="1">
        <f t="shared" si="0"/>
        <v>0.16129032258064516</v>
      </c>
      <c r="P16">
        <v>3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7</v>
      </c>
      <c r="Y16" s="1">
        <f t="shared" si="1"/>
        <v>0.22580645161290322</v>
      </c>
      <c r="Z16">
        <v>12</v>
      </c>
      <c r="AA16" s="1">
        <f t="shared" si="2"/>
        <v>0.38709677419354838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31&lt;/td&gt;&lt;td&gt;0&lt;/td&gt;&lt;td&gt;0&lt;/td&gt;&lt;td&gt;0&lt;/td&gt;&lt;td&gt;1&lt;/td&gt;&lt;td&gt;0&lt;/td&gt;&lt;td&gt;0&lt;/td&gt;&lt;td&gt;0&lt;/td&gt;&lt;td&gt;3&lt;/td&gt;&lt;td&gt;1&lt;/td&gt;&lt;td&gt;0&lt;/td&gt;&lt;td&gt;0&lt;/td&gt;&lt;td&gt;5&lt;/td&gt;&lt;td&gt;0.16&lt;/td&gt;&lt;td&gt;12&lt;/td&gt;&lt;td&gt;0.39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31&lt;/td&gt;&lt;td&gt;3&lt;/td&gt;&lt;td&gt;3&lt;/td&gt;&lt;td&gt;0&lt;/td&gt;&lt;td&gt;0&lt;/td&gt;&lt;td&gt;0&lt;/td&gt;&lt;td&gt;0&lt;/td&gt;&lt;td&gt;0&lt;/td&gt;&lt;td&gt;1&lt;/td&gt;&lt;td&gt;7&lt;/td&gt;&lt;td&gt;0.23&lt;/td&gt;&lt;td&gt;12&lt;/td&gt;&lt;td&gt;0.39&lt;/td&gt;&lt;/tr&gt;</v>
      </c>
    </row>
    <row r="17" spans="1:46" x14ac:dyDescent="0.3">
      <c r="A17" t="s">
        <v>40</v>
      </c>
      <c r="B17">
        <v>67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2</v>
      </c>
      <c r="K17">
        <v>2</v>
      </c>
      <c r="L17">
        <v>0</v>
      </c>
      <c r="M17">
        <v>1</v>
      </c>
      <c r="N17">
        <v>6</v>
      </c>
      <c r="O17" s="1">
        <f t="shared" si="0"/>
        <v>8.9552238805970144E-2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2</v>
      </c>
      <c r="W17">
        <v>4</v>
      </c>
      <c r="X17">
        <v>9</v>
      </c>
      <c r="Y17" s="1">
        <f t="shared" si="1"/>
        <v>0.13432835820895522</v>
      </c>
      <c r="Z17">
        <v>15</v>
      </c>
      <c r="AA17" s="1">
        <f t="shared" si="2"/>
        <v>0.22388059701492538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67&lt;/td&gt;&lt;td&gt;0&lt;/td&gt;&lt;td&gt;0&lt;/td&gt;&lt;td&gt;0&lt;/td&gt;&lt;td&gt;1&lt;/td&gt;&lt;td&gt;1&lt;/td&gt;&lt;td&gt;0&lt;/td&gt;&lt;td&gt;0&lt;/td&gt;&lt;td&gt;2&lt;/td&gt;&lt;td&gt;2&lt;/td&gt;&lt;td&gt;0&lt;/td&gt;&lt;td&gt;1&lt;/td&gt;&lt;td&gt;6&lt;/td&gt;&lt;td&gt;0.09&lt;/td&gt;&lt;td&gt;15&lt;/td&gt;&lt;td&gt;0.22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67&lt;/td&gt;&lt;td&gt;0&lt;/td&gt;&lt;td&gt;0&lt;/td&gt;&lt;td&gt;1&lt;/td&gt;&lt;td&gt;1&lt;/td&gt;&lt;td&gt;0&lt;/td&gt;&lt;td&gt;1&lt;/td&gt;&lt;td&gt;2&lt;/td&gt;&lt;td&gt;4&lt;/td&gt;&lt;td&gt;9&lt;/td&gt;&lt;td&gt;0.13&lt;/td&gt;&lt;td&gt;15&lt;/td&gt;&lt;td&gt;0.22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55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2</v>
      </c>
      <c r="J19">
        <v>1</v>
      </c>
      <c r="K19">
        <v>1</v>
      </c>
      <c r="L19">
        <v>1</v>
      </c>
      <c r="M19">
        <v>0</v>
      </c>
      <c r="N19">
        <v>6</v>
      </c>
      <c r="O19" s="1">
        <f t="shared" si="0"/>
        <v>0.10909090909090909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4</v>
      </c>
      <c r="X19">
        <v>5</v>
      </c>
      <c r="Y19" s="1">
        <f t="shared" si="1"/>
        <v>9.0909090909090912E-2</v>
      </c>
      <c r="Z19">
        <v>11</v>
      </c>
      <c r="AA19" s="1">
        <f t="shared" si="2"/>
        <v>0.2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55&lt;/td&gt;&lt;td&gt;0&lt;/td&gt;&lt;td&gt;0&lt;/td&gt;&lt;td&gt;0&lt;/td&gt;&lt;td&gt;1&lt;/td&gt;&lt;td&gt;0&lt;/td&gt;&lt;td&gt;0&lt;/td&gt;&lt;td&gt;2&lt;/td&gt;&lt;td&gt;1&lt;/td&gt;&lt;td&gt;1&lt;/td&gt;&lt;td&gt;1&lt;/td&gt;&lt;td&gt;0&lt;/td&gt;&lt;td&gt;6&lt;/td&gt;&lt;td&gt;0.11&lt;/td&gt;&lt;td&gt;11&lt;/td&gt;&lt;td&gt;0.20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55&lt;/td&gt;&lt;td&gt;0&lt;/td&gt;&lt;td&gt;1&lt;/td&gt;&lt;td&gt;0&lt;/td&gt;&lt;td&gt;0&lt;/td&gt;&lt;td&gt;0&lt;/td&gt;&lt;td&gt;0&lt;/td&gt;&lt;td&gt;0&lt;/td&gt;&lt;td&gt;4&lt;/td&gt;&lt;td&gt;5&lt;/td&gt;&lt;td&gt;0.09&lt;/td&gt;&lt;td&gt;11&lt;/td&gt;&lt;td&gt;0.20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83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4</v>
      </c>
      <c r="O21" s="1">
        <f t="shared" si="0"/>
        <v>4.8192771084337352E-2</v>
      </c>
      <c r="P21">
        <v>4</v>
      </c>
      <c r="Q21">
        <v>4</v>
      </c>
      <c r="R21">
        <v>2</v>
      </c>
      <c r="S21">
        <v>0</v>
      </c>
      <c r="T21">
        <v>1</v>
      </c>
      <c r="U21">
        <v>1</v>
      </c>
      <c r="V21">
        <v>7</v>
      </c>
      <c r="W21">
        <v>10</v>
      </c>
      <c r="X21">
        <v>29</v>
      </c>
      <c r="Y21" s="1">
        <f t="shared" si="1"/>
        <v>0.3493975903614458</v>
      </c>
      <c r="Z21">
        <v>33</v>
      </c>
      <c r="AA21" s="1">
        <f t="shared" si="2"/>
        <v>0.39759036144578314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83&lt;/td&gt;&lt;td&gt;0&lt;/td&gt;&lt;td&gt;0&lt;/td&gt;&lt;td&gt;0&lt;/td&gt;&lt;td&gt;3&lt;/td&gt;&lt;td&gt;0&lt;/td&gt;&lt;td&gt;0&lt;/td&gt;&lt;td&gt;0&lt;/td&gt;&lt;td&gt;0&lt;/td&gt;&lt;td&gt;1&lt;/td&gt;&lt;td&gt;0&lt;/td&gt;&lt;td&gt;0&lt;/td&gt;&lt;td&gt;4&lt;/td&gt;&lt;td&gt;0.05&lt;/td&gt;&lt;td&gt;33&lt;/td&gt;&lt;td&gt;0.40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83&lt;/td&gt;&lt;td&gt;4&lt;/td&gt;&lt;td&gt;4&lt;/td&gt;&lt;td&gt;2&lt;/td&gt;&lt;td&gt;0&lt;/td&gt;&lt;td&gt;1&lt;/td&gt;&lt;td&gt;1&lt;/td&gt;&lt;td&gt;7&lt;/td&gt;&lt;td&gt;10&lt;/td&gt;&lt;td&gt;29&lt;/td&gt;&lt;td&gt;0.35&lt;/td&gt;&lt;td&gt;33&lt;/td&gt;&lt;td&gt;0.40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6</v>
      </c>
      <c r="O22" s="1">
        <f t="shared" si="0"/>
        <v>6.6666666666666666E-2</v>
      </c>
      <c r="P22">
        <v>5</v>
      </c>
      <c r="Q22">
        <v>5</v>
      </c>
      <c r="R22">
        <v>2</v>
      </c>
      <c r="S22">
        <v>3</v>
      </c>
      <c r="T22">
        <v>3</v>
      </c>
      <c r="U22">
        <v>0</v>
      </c>
      <c r="V22">
        <v>5</v>
      </c>
      <c r="W22">
        <v>5</v>
      </c>
      <c r="X22">
        <v>28</v>
      </c>
      <c r="Y22" s="1">
        <f t="shared" si="1"/>
        <v>0.31111111111111112</v>
      </c>
      <c r="Z22">
        <v>34</v>
      </c>
      <c r="AA22" s="1">
        <f t="shared" si="2"/>
        <v>0.37777777777777777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2&lt;/td&gt;&lt;td&gt;0&lt;/td&gt;&lt;td&gt;0&lt;/td&gt;&lt;td&gt;0&lt;/td&gt;&lt;td&gt;1&lt;/td&gt;&lt;td&gt;1&lt;/td&gt;&lt;td&gt;1&lt;/td&gt;&lt;td&gt;1&lt;/td&gt;&lt;td&gt;6&lt;/td&gt;&lt;td&gt;0.07&lt;/td&gt;&lt;td&gt;34&lt;/td&gt;&lt;td&gt;0.38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5&lt;/td&gt;&lt;td&gt;5&lt;/td&gt;&lt;td&gt;2&lt;/td&gt;&lt;td&gt;3&lt;/td&gt;&lt;td&gt;3&lt;/td&gt;&lt;td&gt;0&lt;/td&gt;&lt;td&gt;5&lt;/td&gt;&lt;td&gt;5&lt;/td&gt;&lt;td&gt;28&lt;/td&gt;&lt;td&gt;0.31&lt;/td&gt;&lt;td&gt;34&lt;/td&gt;&lt;td&gt;0.38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76</v>
      </c>
      <c r="C24">
        <v>0</v>
      </c>
      <c r="D24">
        <v>0</v>
      </c>
      <c r="E24">
        <v>0</v>
      </c>
      <c r="F24">
        <v>3</v>
      </c>
      <c r="G24">
        <v>2</v>
      </c>
      <c r="H24">
        <v>0</v>
      </c>
      <c r="I24">
        <v>1</v>
      </c>
      <c r="J24">
        <v>0</v>
      </c>
      <c r="K24">
        <v>1</v>
      </c>
      <c r="L24">
        <v>2</v>
      </c>
      <c r="M24">
        <v>0</v>
      </c>
      <c r="N24">
        <v>7</v>
      </c>
      <c r="O24" s="1">
        <f t="shared" si="0"/>
        <v>9.2105263157894732E-2</v>
      </c>
      <c r="P24">
        <v>3</v>
      </c>
      <c r="Q24">
        <v>5</v>
      </c>
      <c r="R24">
        <v>3</v>
      </c>
      <c r="S24">
        <v>1</v>
      </c>
      <c r="T24">
        <v>0</v>
      </c>
      <c r="U24">
        <v>1</v>
      </c>
      <c r="V24">
        <v>3</v>
      </c>
      <c r="W24">
        <v>6</v>
      </c>
      <c r="X24">
        <v>22</v>
      </c>
      <c r="Y24" s="1">
        <f t="shared" si="1"/>
        <v>0.28947368421052633</v>
      </c>
      <c r="Z24">
        <v>29</v>
      </c>
      <c r="AA24" s="1">
        <f t="shared" si="2"/>
        <v>0.38157894736842107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76&lt;/td&gt;&lt;td&gt;0&lt;/td&gt;&lt;td&gt;0&lt;/td&gt;&lt;td&gt;0&lt;/td&gt;&lt;td&gt;3&lt;/td&gt;&lt;td&gt;2&lt;/td&gt;&lt;td&gt;0&lt;/td&gt;&lt;td&gt;1&lt;/td&gt;&lt;td&gt;0&lt;/td&gt;&lt;td&gt;1&lt;/td&gt;&lt;td&gt;2&lt;/td&gt;&lt;td&gt;0&lt;/td&gt;&lt;td&gt;7&lt;/td&gt;&lt;td&gt;0.09&lt;/td&gt;&lt;td&gt;29&lt;/td&gt;&lt;td&gt;0.38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76&lt;/td&gt;&lt;td&gt;3&lt;/td&gt;&lt;td&gt;5&lt;/td&gt;&lt;td&gt;3&lt;/td&gt;&lt;td&gt;1&lt;/td&gt;&lt;td&gt;0&lt;/td&gt;&lt;td&gt;1&lt;/td&gt;&lt;td&gt;3&lt;/td&gt;&lt;td&gt;6&lt;/td&gt;&lt;td&gt;22&lt;/td&gt;&lt;td&gt;0.29&lt;/td&gt;&lt;td&gt;29&lt;/td&gt;&lt;td&gt;0.38&lt;/td&gt;&lt;/tr&gt;</v>
      </c>
    </row>
    <row r="26" spans="1:46" x14ac:dyDescent="0.3">
      <c r="A26" t="str">
        <f>AC4</f>
        <v>&lt;tr&gt;&lt;td&gt;Makovicka&lt;/td&gt;&lt;td&gt;43&lt;/td&gt;&lt;td&gt;1&lt;/td&gt;&lt;td&gt;0&lt;/td&gt;&lt;td&gt;0&lt;/td&gt;&lt;td&gt;4&lt;/td&gt;&lt;td&gt;0&lt;/td&gt;&lt;td&gt;0&lt;/td&gt;&lt;td&gt;1&lt;/td&gt;&lt;td&gt;6&lt;/td&gt;&lt;td&gt;4&lt;/td&gt;&lt;td&gt;2&lt;/td&gt;&lt;td&gt;2&lt;/td&gt;&lt;td&gt;20&lt;/td&gt;&lt;td&gt;0.47&lt;/td&gt;&lt;td&gt;28&lt;/td&gt;&lt;td&gt;0.65&lt;/td&gt;&lt;/tr&gt;</v>
      </c>
    </row>
    <row r="27" spans="1:46" x14ac:dyDescent="0.3">
      <c r="A27" t="str">
        <f>AC15</f>
        <v>&lt;tr&gt;&lt;td&gt;Williams&lt;/td&gt;&lt;td&gt;90&lt;/td&gt;&lt;td&gt;1&lt;/td&gt;&lt;td&gt;0&lt;/td&gt;&lt;td&gt;0&lt;/td&gt;&lt;td&gt;2&lt;/td&gt;&lt;td&gt;0&lt;/td&gt;&lt;td&gt;0&lt;/td&gt;&lt;td&gt;1&lt;/td&gt;&lt;td&gt;0&lt;/td&gt;&lt;td&gt;1&lt;/td&gt;&lt;td&gt;1&lt;/td&gt;&lt;td&gt;0&lt;/td&gt;&lt;td&gt;6&lt;/td&gt;&lt;td&gt;0.07&lt;/td&gt;&lt;td&gt;35&lt;/td&gt;&lt;td&gt;0.39&lt;/td&gt;&lt;/tr&gt;</v>
      </c>
    </row>
    <row r="28" spans="1:46" x14ac:dyDescent="0.3">
      <c r="A28" t="str">
        <f>AC9</f>
        <v>&lt;tr&gt;&lt;td&gt;Guyott&lt;/td&gt;&lt;td&gt;90&lt;/td&gt;&lt;td&gt;0&lt;/td&gt;&lt;td&gt;1&lt;/td&gt;&lt;td&gt;1&lt;/td&gt;&lt;td&gt;8&lt;/td&gt;&lt;td&gt;0&lt;/td&gt;&lt;td&gt;2&lt;/td&gt;&lt;td&gt;3&lt;/td&gt;&lt;td&gt;1&lt;/td&gt;&lt;td&gt;5&lt;/td&gt;&lt;td&gt;0&lt;/td&gt;&lt;td&gt;0&lt;/td&gt;&lt;td&gt;21&lt;/td&gt;&lt;td&gt;0.23&lt;/td&gt;&lt;td&gt;41&lt;/td&gt;&lt;td&gt;0.46&lt;/td&gt;&lt;/tr&gt;</v>
      </c>
    </row>
    <row r="29" spans="1:46" x14ac:dyDescent="0.3">
      <c r="A29" t="str">
        <f>AC24</f>
        <v>&lt;tr&gt;&lt;td&gt;Sant&lt;/td&gt;&lt;td&gt;76&lt;/td&gt;&lt;td&gt;0&lt;/td&gt;&lt;td&gt;0&lt;/td&gt;&lt;td&gt;0&lt;/td&gt;&lt;td&gt;3&lt;/td&gt;&lt;td&gt;2&lt;/td&gt;&lt;td&gt;0&lt;/td&gt;&lt;td&gt;1&lt;/td&gt;&lt;td&gt;0&lt;/td&gt;&lt;td&gt;1&lt;/td&gt;&lt;td&gt;2&lt;/td&gt;&lt;td&gt;0&lt;/td&gt;&lt;td&gt;7&lt;/td&gt;&lt;td&gt;0.09&lt;/td&gt;&lt;td&gt;29&lt;/td&gt;&lt;td&gt;0.38&lt;/td&gt;&lt;/tr&gt;</v>
      </c>
    </row>
    <row r="30" spans="1:46" x14ac:dyDescent="0.3">
      <c r="A30" t="str">
        <f>AC12</f>
        <v>&lt;tr&gt;&lt;td&gt;Reda&lt;/td&gt;&lt;td&gt;41&lt;/td&gt;&lt;td&gt;0&lt;/td&gt;&lt;td&gt;0&lt;/td&gt;&lt;td&gt;0&lt;/td&gt;&lt;td&gt;3&lt;/td&gt;&lt;td&gt;0&lt;/td&gt;&lt;td&gt;0&lt;/td&gt;&lt;td&gt;0&lt;/td&gt;&lt;td&gt;0&lt;/td&gt;&lt;td&gt;0&lt;/td&gt;&lt;td&gt;0&lt;/td&gt;&lt;td&gt;0&lt;/td&gt;&lt;td&gt;3&lt;/td&gt;&lt;td&gt;0.07&lt;/td&gt;&lt;td&gt;15&lt;/td&gt;&lt;td&gt;0.37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2&lt;/td&gt;&lt;td&gt;0&lt;/td&gt;&lt;td&gt;0&lt;/td&gt;&lt;td&gt;0&lt;/td&gt;&lt;td&gt;1&lt;/td&gt;&lt;td&gt;1&lt;/td&gt;&lt;td&gt;1&lt;/td&gt;&lt;td&gt;1&lt;/td&gt;&lt;td&gt;6&lt;/td&gt;&lt;td&gt;0.07&lt;/td&gt;&lt;td&gt;34&lt;/td&gt;&lt;td&gt;0.38&lt;/td&gt;&lt;/tr&gt;</v>
      </c>
    </row>
    <row r="32" spans="1:46" x14ac:dyDescent="0.3">
      <c r="A32" t="str">
        <f>AC3</f>
        <v>&lt;tr&gt;&lt;td&gt;Geraneo&lt;/td&gt;&lt;td&gt;7&lt;/td&gt;&lt;td&gt;0&lt;/td&gt;&lt;td&gt;0&lt;/td&gt;&lt;td&gt;0&lt;/td&gt;&lt;td&gt;0&lt;/td&gt;&lt;td&gt;1&lt;/td&gt;&lt;td&gt;0&lt;/td&gt;&lt;td&gt;0&lt;/td&gt;&lt;td&gt;0&lt;/td&gt;&lt;td&gt;1&lt;/td&gt;&lt;td&gt;0&lt;/td&gt;&lt;td&gt;0&lt;/td&gt;&lt;td&gt;1&lt;/td&gt;&lt;td&gt;0.14&lt;/td&gt;&lt;td&gt;5&lt;/td&gt;&lt;td&gt;0.71&lt;/td&gt;&lt;/tr&gt;</v>
      </c>
    </row>
    <row r="33" spans="1:1" x14ac:dyDescent="0.3">
      <c r="A33" t="str">
        <f>AC7</f>
        <v>&lt;tr&gt;&lt;td&gt;Donnelly&lt;/td&gt;&lt;td&gt;61&lt;/td&gt;&lt;td&gt;0&lt;/td&gt;&lt;td&gt;0&lt;/td&gt;&lt;td&gt;0&lt;/td&gt;&lt;td&gt;1&lt;/td&gt;&lt;td&gt;0&lt;/td&gt;&lt;td&gt;0&lt;/td&gt;&lt;td&gt;0&lt;/td&gt;&lt;td&gt;0&lt;/td&gt;&lt;td&gt;0&lt;/td&gt;&lt;td&gt;1&lt;/td&gt;&lt;td&gt;0&lt;/td&gt;&lt;td&gt;2&lt;/td&gt;&lt;td&gt;0.03&lt;/td&gt;&lt;td&gt;9&lt;/td&gt;&lt;td&gt;0.15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29&lt;/td&gt;&lt;td&gt;0&lt;/td&gt;&lt;td&gt;0&lt;/td&gt;&lt;td&gt;0&lt;/td&gt;&lt;td&gt;0&lt;/td&gt;&lt;td&gt;0&lt;/td&gt;&lt;td&gt;2&lt;/td&gt;&lt;td&gt;0&lt;/td&gt;&lt;td&gt;0&lt;/td&gt;&lt;td&gt;0&lt;/td&gt;&lt;td&gt;0&lt;/td&gt;&lt;td&gt;0&lt;/td&gt;&lt;td&gt;2&lt;/td&gt;&lt;td&gt;0.07&lt;/td&gt;&lt;td&gt;4&lt;/td&gt;&lt;td&gt;0.14&lt;/td&gt;&lt;/tr&gt;</v>
      </c>
    </row>
    <row r="38" spans="1:1" x14ac:dyDescent="0.3">
      <c r="A38" t="str">
        <f>AC21</f>
        <v>&lt;tr&gt;&lt;td&gt;Snowden&lt;/td&gt;&lt;td&gt;83&lt;/td&gt;&lt;td&gt;0&lt;/td&gt;&lt;td&gt;0&lt;/td&gt;&lt;td&gt;0&lt;/td&gt;&lt;td&gt;3&lt;/td&gt;&lt;td&gt;0&lt;/td&gt;&lt;td&gt;0&lt;/td&gt;&lt;td&gt;0&lt;/td&gt;&lt;td&gt;0&lt;/td&gt;&lt;td&gt;1&lt;/td&gt;&lt;td&gt;0&lt;/td&gt;&lt;td&gt;0&lt;/td&gt;&lt;td&gt;4&lt;/td&gt;&lt;td&gt;0.05&lt;/td&gt;&lt;td&gt;33&lt;/td&gt;&lt;td&gt;0.40&lt;/td&gt;&lt;/tr&gt;</v>
      </c>
    </row>
    <row r="39" spans="1:1" x14ac:dyDescent="0.3">
      <c r="A39" t="str">
        <f>AC11</f>
        <v>&lt;tr&gt;&lt;td&gt;Prososki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67&lt;/td&gt;&lt;td&gt;0&lt;/td&gt;&lt;td&gt;0&lt;/td&gt;&lt;td&gt;0&lt;/td&gt;&lt;td&gt;4&lt;/td&gt;&lt;td&gt;0&lt;/td&gt;&lt;td&gt;0&lt;/td&gt;&lt;td&gt;0&lt;/td&gt;&lt;td&gt;2&lt;/td&gt;&lt;td&gt;2&lt;/td&gt;&lt;td&gt;0&lt;/td&gt;&lt;td&gt;1&lt;/td&gt;&lt;td&gt;9&lt;/td&gt;&lt;td&gt;0.13&lt;/td&gt;&lt;td&gt;28&lt;/td&gt;&lt;td&gt;0.42&lt;/td&gt;&lt;/tr&gt;</v>
      </c>
    </row>
    <row r="42" spans="1:1" x14ac:dyDescent="0.3">
      <c r="A42" t="str">
        <f>AC10</f>
        <v>&lt;tr&gt;&lt;td&gt;Rudney&lt;/td&gt;&lt;td&gt;56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3&lt;/td&gt;&lt;td&gt;0.05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55&lt;/td&gt;&lt;td&gt;0&lt;/td&gt;&lt;td&gt;0&lt;/td&gt;&lt;td&gt;0&lt;/td&gt;&lt;td&gt;1&lt;/td&gt;&lt;td&gt;0&lt;/td&gt;&lt;td&gt;0&lt;/td&gt;&lt;td&gt;2&lt;/td&gt;&lt;td&gt;1&lt;/td&gt;&lt;td&gt;1&lt;/td&gt;&lt;td&gt;1&lt;/td&gt;&lt;td&gt;0&lt;/td&gt;&lt;td&gt;6&lt;/td&gt;&lt;td&gt;0.11&lt;/td&gt;&lt;td&gt;11&lt;/td&gt;&lt;td&gt;0.20&lt;/td&gt;&lt;/tr&gt;</v>
      </c>
    </row>
    <row r="45" spans="1:1" x14ac:dyDescent="0.3">
      <c r="A45" t="str">
        <f>AC17</f>
        <v>&lt;tr&gt;&lt;td&gt;Carpenter&lt;/td&gt;&lt;td&gt;67&lt;/td&gt;&lt;td&gt;0&lt;/td&gt;&lt;td&gt;0&lt;/td&gt;&lt;td&gt;0&lt;/td&gt;&lt;td&gt;1&lt;/td&gt;&lt;td&gt;1&lt;/td&gt;&lt;td&gt;0&lt;/td&gt;&lt;td&gt;0&lt;/td&gt;&lt;td&gt;2&lt;/td&gt;&lt;td&gt;2&lt;/td&gt;&lt;td&gt;0&lt;/td&gt;&lt;td&gt;1&lt;/td&gt;&lt;td&gt;6&lt;/td&gt;&lt;td&gt;0.09&lt;/td&gt;&lt;td&gt;15&lt;/td&gt;&lt;td&gt;0.22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31&lt;/td&gt;&lt;td&gt;0&lt;/td&gt;&lt;td&gt;0&lt;/td&gt;&lt;td&gt;0&lt;/td&gt;&lt;td&gt;1&lt;/td&gt;&lt;td&gt;0&lt;/td&gt;&lt;td&gt;0&lt;/td&gt;&lt;td&gt;0&lt;/td&gt;&lt;td&gt;3&lt;/td&gt;&lt;td&gt;1&lt;/td&gt;&lt;td&gt;0&lt;/td&gt;&lt;td&gt;0&lt;/td&gt;&lt;td&gt;5&lt;/td&gt;&lt;td&gt;0.16&lt;/td&gt;&lt;td&gt;12&lt;/td&gt;&lt;td&gt;0.39&lt;/td&gt;&lt;/tr&gt;</v>
      </c>
    </row>
    <row r="48" spans="1:1" x14ac:dyDescent="0.3">
      <c r="A48" t="str">
        <f>AC6</f>
        <v>&lt;tr&gt;&lt;td&gt;Wistrom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3&lt;/td&gt;&lt;td&gt;0.43&lt;/td&gt;&lt;/tr&gt;</v>
      </c>
    </row>
    <row r="50" spans="1:1" x14ac:dyDescent="0.3">
      <c r="A50" t="str">
        <f>AT4</f>
        <v>&lt;tr&gt;&lt;td&gt;Makovicka&lt;/td&gt;&lt;td&gt;43&lt;/td&gt;&lt;td&gt;0&lt;/td&gt;&lt;td&gt;0&lt;/td&gt;&lt;td&gt;1&lt;/td&gt;&lt;td&gt;0&lt;/td&gt;&lt;td&gt;0&lt;/td&gt;&lt;td&gt;2&lt;/td&gt;&lt;td&gt;2&lt;/td&gt;&lt;td&gt;3&lt;/td&gt;&lt;td&gt;8&lt;/td&gt;&lt;td&gt;0.19&lt;/td&gt;&lt;td&gt;28&lt;/td&gt;&lt;td&gt;0.65&lt;/td&gt;&lt;/tr&gt;</v>
      </c>
    </row>
    <row r="51" spans="1:1" x14ac:dyDescent="0.3">
      <c r="A51" t="str">
        <f>AT15</f>
        <v>&lt;tr&gt;&lt;td&gt;Williams&lt;/td&gt;&lt;td&gt;90&lt;/td&gt;&lt;td&gt;2&lt;/td&gt;&lt;td&gt;5&lt;/td&gt;&lt;td&gt;1&lt;/td&gt;&lt;td&gt;3&lt;/td&gt;&lt;td&gt;4&lt;/td&gt;&lt;td&gt;1&lt;/td&gt;&lt;td&gt;8&lt;/td&gt;&lt;td&gt;5&lt;/td&gt;&lt;td&gt;29&lt;/td&gt;&lt;td&gt;0.32&lt;/td&gt;&lt;td&gt;35&lt;/td&gt;&lt;td&gt;0.39&lt;/td&gt;&lt;/tr&gt;</v>
      </c>
    </row>
    <row r="52" spans="1:1" x14ac:dyDescent="0.3">
      <c r="A52" t="str">
        <f>AT9</f>
        <v>&lt;tr&gt;&lt;td&gt;Guyott&lt;/td&gt;&lt;td&gt;90&lt;/td&gt;&lt;td&gt;1&lt;/td&gt;&lt;td&gt;6&lt;/td&gt;&lt;td&gt;2&lt;/td&gt;&lt;td&gt;0&lt;/td&gt;&lt;td&gt;1&lt;/td&gt;&lt;td&gt;1&lt;/td&gt;&lt;td&gt;4&lt;/td&gt;&lt;td&gt;5&lt;/td&gt;&lt;td&gt;20&lt;/td&gt;&lt;td&gt;0.22&lt;/td&gt;&lt;td&gt;41&lt;/td&gt;&lt;td&gt;0.46&lt;/td&gt;&lt;/tr&gt;</v>
      </c>
    </row>
    <row r="53" spans="1:1" x14ac:dyDescent="0.3">
      <c r="A53" t="str">
        <f>AT24</f>
        <v>&lt;tr&gt;&lt;td&gt;Sant&lt;/td&gt;&lt;td&gt;76&lt;/td&gt;&lt;td&gt;3&lt;/td&gt;&lt;td&gt;5&lt;/td&gt;&lt;td&gt;3&lt;/td&gt;&lt;td&gt;1&lt;/td&gt;&lt;td&gt;0&lt;/td&gt;&lt;td&gt;1&lt;/td&gt;&lt;td&gt;3&lt;/td&gt;&lt;td&gt;6&lt;/td&gt;&lt;td&gt;22&lt;/td&gt;&lt;td&gt;0.29&lt;/td&gt;&lt;td&gt;29&lt;/td&gt;&lt;td&gt;0.38&lt;/td&gt;&lt;/tr&gt;</v>
      </c>
    </row>
    <row r="54" spans="1:1" x14ac:dyDescent="0.3">
      <c r="A54" t="str">
        <f>AT12</f>
        <v>&lt;tr&gt;&lt;td&gt;Reda&lt;/td&gt;&lt;td&gt;41&lt;/td&gt;&lt;td&gt;0&lt;/td&gt;&lt;td&gt;4&lt;/td&gt;&lt;td&gt;0&lt;/td&gt;&lt;td&gt;0&lt;/td&gt;&lt;td&gt;0&lt;/td&gt;&lt;td&gt;2&lt;/td&gt;&lt;td&gt;2&lt;/td&gt;&lt;td&gt;4&lt;/td&gt;&lt;td&gt;12&lt;/td&gt;&lt;td&gt;0.29&lt;/td&gt;&lt;td&gt;15&lt;/td&gt;&lt;td&gt;0.37&lt;/td&gt;&lt;/tr&gt;</v>
      </c>
    </row>
    <row r="55" spans="1:1" x14ac:dyDescent="0.3">
      <c r="A55" t="str">
        <f>AT22</f>
        <v>&lt;tr&gt;&lt;td&gt;Borer&lt;/td&gt;&lt;td&gt;90&lt;/td&gt;&lt;td&gt;5&lt;/td&gt;&lt;td&gt;5&lt;/td&gt;&lt;td&gt;2&lt;/td&gt;&lt;td&gt;3&lt;/td&gt;&lt;td&gt;3&lt;/td&gt;&lt;td&gt;0&lt;/td&gt;&lt;td&gt;5&lt;/td&gt;&lt;td&gt;5&lt;/td&gt;&lt;td&gt;28&lt;/td&gt;&lt;td&gt;0.31&lt;/td&gt;&lt;td&gt;34&lt;/td&gt;&lt;td&gt;0.38&lt;/td&gt;&lt;/tr&gt;</v>
      </c>
    </row>
    <row r="56" spans="1:1" x14ac:dyDescent="0.3">
      <c r="A56" t="str">
        <f>AT3</f>
        <v>&lt;tr&gt;&lt;td&gt;Geraneo&lt;/td&gt;&lt;td&gt;7&lt;/td&gt;&lt;td&gt;0&lt;/td&gt;&lt;td&gt;1&lt;/td&gt;&lt;td&gt;1&lt;/td&gt;&lt;td&gt;0&lt;/td&gt;&lt;td&gt;0&lt;/td&gt;&lt;td&gt;2&lt;/td&gt;&lt;td&gt;0&lt;/td&gt;&lt;td&gt;0&lt;/td&gt;&lt;td&gt;4&lt;/td&gt;&lt;td&gt;0.57&lt;/td&gt;&lt;td&gt;5&lt;/td&gt;&lt;td&gt;0.71&lt;/td&gt;&lt;/tr&gt;</v>
      </c>
    </row>
    <row r="57" spans="1:1" x14ac:dyDescent="0.3">
      <c r="A57" t="str">
        <f>AT7</f>
        <v>&lt;tr&gt;&lt;td&gt;Donnelly&lt;/td&gt;&lt;td&gt;61&lt;/td&gt;&lt;td&gt;1&lt;/td&gt;&lt;td&gt;0&lt;/td&gt;&lt;td&gt;0&lt;/td&gt;&lt;td&gt;1&lt;/td&gt;&lt;td&gt;0&lt;/td&gt;&lt;td&gt;0&lt;/td&gt;&lt;td&gt;1&lt;/td&gt;&lt;td&gt;4&lt;/td&gt;&lt;td&gt;7&lt;/td&gt;&lt;td&gt;0.11&lt;/td&gt;&lt;td&gt;9&lt;/td&gt;&lt;td&gt;0.15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29&lt;/td&gt;&lt;td&gt;0&lt;/td&gt;&lt;td&gt;0&lt;/td&gt;&lt;td&gt;0&lt;/td&gt;&lt;td&gt;1&lt;/td&gt;&lt;td&gt;0&lt;/td&gt;&lt;td&gt;0&lt;/td&gt;&lt;td&gt;0&lt;/td&gt;&lt;td&gt;1&lt;/td&gt;&lt;td&gt;2&lt;/td&gt;&lt;td&gt;0.07&lt;/td&gt;&lt;td&gt;4&lt;/td&gt;&lt;td&gt;0.14&lt;/td&gt;&lt;/tr&gt;</v>
      </c>
    </row>
    <row r="62" spans="1:1" x14ac:dyDescent="0.3">
      <c r="A62" t="str">
        <f>AT21</f>
        <v>&lt;tr&gt;&lt;td&gt;Snowden&lt;/td&gt;&lt;td&gt;83&lt;/td&gt;&lt;td&gt;4&lt;/td&gt;&lt;td&gt;4&lt;/td&gt;&lt;td&gt;2&lt;/td&gt;&lt;td&gt;0&lt;/td&gt;&lt;td&gt;1&lt;/td&gt;&lt;td&gt;1&lt;/td&gt;&lt;td&gt;7&lt;/td&gt;&lt;td&gt;10&lt;/td&gt;&lt;td&gt;29&lt;/td&gt;&lt;td&gt;0.35&lt;/td&gt;&lt;td&gt;33&lt;/td&gt;&lt;td&gt;0.40&lt;/td&gt;&lt;/tr&gt;</v>
      </c>
    </row>
    <row r="63" spans="1:1" x14ac:dyDescent="0.3">
      <c r="A63" t="str">
        <f>AT11</f>
        <v>&lt;tr&gt;&lt;td&gt;Prososki&lt;/td&gt;&lt;td&gt;7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67&lt;/td&gt;&lt;td&gt;0&lt;/td&gt;&lt;td&gt;5&lt;/td&gt;&lt;td&gt;1&lt;/td&gt;&lt;td&gt;1&lt;/td&gt;&lt;td&gt;2&lt;/td&gt;&lt;td&gt;1&lt;/td&gt;&lt;td&gt;1&lt;/td&gt;&lt;td&gt;8&lt;/td&gt;&lt;td&gt;19&lt;/td&gt;&lt;td&gt;0.28&lt;/td&gt;&lt;td&gt;28&lt;/td&gt;&lt;td&gt;0.42&lt;/td&gt;&lt;/tr&gt;</v>
      </c>
    </row>
    <row r="66" spans="1:23" x14ac:dyDescent="0.3">
      <c r="A66" t="str">
        <f>AT10</f>
        <v>&lt;tr&gt;&lt;td&gt;Rudney&lt;/td&gt;&lt;td&gt;56&lt;/td&gt;&lt;td&gt;1&lt;/td&gt;&lt;td&gt;0&lt;/td&gt;&lt;td&gt;0&lt;/td&gt;&lt;td&gt;0&lt;/td&gt;&lt;td&gt;0&lt;/td&gt;&lt;td&gt;0&lt;/td&gt;&lt;td&gt;0&lt;/td&gt;&lt;td&gt;2&lt;/td&gt;&lt;td&gt;3&lt;/td&gt;&lt;td&gt;0.05&lt;/td&gt;&lt;td&gt;3&lt;/td&gt;&lt;td&gt;0.05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55&lt;/td&gt;&lt;td&gt;0&lt;/td&gt;&lt;td&gt;1&lt;/td&gt;&lt;td&gt;0&lt;/td&gt;&lt;td&gt;0&lt;/td&gt;&lt;td&gt;0&lt;/td&gt;&lt;td&gt;0&lt;/td&gt;&lt;td&gt;0&lt;/td&gt;&lt;td&gt;4&lt;/td&gt;&lt;td&gt;5&lt;/td&gt;&lt;td&gt;0.09&lt;/td&gt;&lt;td&gt;11&lt;/td&gt;&lt;td&gt;0.20&lt;/td&gt;&lt;/tr&gt;</v>
      </c>
    </row>
    <row r="69" spans="1:23" x14ac:dyDescent="0.3">
      <c r="A69" t="str">
        <f>AT17</f>
        <v>&lt;tr&gt;&lt;td&gt;Carpenter&lt;/td&gt;&lt;td&gt;67&lt;/td&gt;&lt;td&gt;0&lt;/td&gt;&lt;td&gt;0&lt;/td&gt;&lt;td&gt;1&lt;/td&gt;&lt;td&gt;1&lt;/td&gt;&lt;td&gt;0&lt;/td&gt;&lt;td&gt;1&lt;/td&gt;&lt;td&gt;2&lt;/td&gt;&lt;td&gt;4&lt;/td&gt;&lt;td&gt;9&lt;/td&gt;&lt;td&gt;0.13&lt;/td&gt;&lt;td&gt;15&lt;/td&gt;&lt;td&gt;0.22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31&lt;/td&gt;&lt;td&gt;3&lt;/td&gt;&lt;td&gt;3&lt;/td&gt;&lt;td&gt;0&lt;/td&gt;&lt;td&gt;0&lt;/td&gt;&lt;td&gt;0&lt;/td&gt;&lt;td&gt;0&lt;/td&gt;&lt;td&gt;0&lt;/td&gt;&lt;td&gt;1&lt;/td&gt;&lt;td&gt;7&lt;/td&gt;&lt;td&gt;0.23&lt;/td&gt;&lt;td&gt;12&lt;/td&gt;&lt;td&gt;0.39&lt;/td&gt;&lt;/tr&gt;</v>
      </c>
    </row>
    <row r="72" spans="1:23" x14ac:dyDescent="0.3">
      <c r="A72" t="str">
        <f>AT6</f>
        <v>&lt;tr&gt;&lt;td&gt;Wistrom&lt;/td&gt;&lt;td&gt;7&lt;/td&gt;&lt;td&gt;0&lt;/td&gt;&lt;td&gt;1&lt;/td&gt;&lt;td&gt;0&lt;/td&gt;&lt;td&gt;0&lt;/td&gt;&lt;td&gt;0&lt;/td&gt;&lt;td&gt;0&lt;/td&gt;&lt;td&gt;0&lt;/td&gt;&lt;td&gt;2&lt;/td&gt;&lt;td&gt;3&lt;/td&gt;&lt;td&gt;0.43&lt;/td&gt;&lt;td&gt;3&lt;/td&gt;&lt;td&gt;0.43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43,</v>
      </c>
      <c r="B76" t="str">
        <f>"minutes: "&amp;$B$15&amp;","</f>
        <v>minutes: 90,</v>
      </c>
      <c r="C76" t="str">
        <f>"minutes: "&amp;$B$9&amp;","</f>
        <v>minutes: 90,</v>
      </c>
      <c r="D76" t="str">
        <f>"minutes: "&amp;$B$24&amp;","</f>
        <v>minutes: 76,</v>
      </c>
      <c r="E76" t="str">
        <f>"minutes: "&amp;$B$12&amp;","</f>
        <v>minutes: 41,</v>
      </c>
      <c r="F76" t="str">
        <f>"minutes: "&amp;$B$22&amp;","</f>
        <v>minutes: 90,</v>
      </c>
      <c r="G76" t="str">
        <f>"minutes: "&amp;$B$3&amp;","</f>
        <v>minutes: 7,</v>
      </c>
      <c r="H76" t="str">
        <f>"minutes: "&amp;$B$7&amp;","</f>
        <v>minutes: 61,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29,</v>
      </c>
      <c r="M76" t="str">
        <f>"minutes: "&amp;$B$21&amp;","</f>
        <v>minutes: 83,</v>
      </c>
      <c r="N76" t="str">
        <f>"minutes: "&amp;$B$11&amp;","</f>
        <v>minutes: 7,</v>
      </c>
      <c r="O76" t="str">
        <f>"minutes: "&amp;$B$13&amp;","</f>
        <v>minutes: 0,</v>
      </c>
      <c r="P76" t="str">
        <f>"minutes: "&amp;$B$5&amp;","</f>
        <v>minutes: 67,</v>
      </c>
      <c r="Q76" t="str">
        <f>"minutes: "&amp;$B$10&amp;","</f>
        <v>minutes: 56,</v>
      </c>
      <c r="R76" t="str">
        <f>"minutes: "&amp;$B$2&amp;","</f>
        <v>minutes: 0,</v>
      </c>
      <c r="S76" t="str">
        <f>"minutes: "&amp;$B$19&amp;","</f>
        <v>minutes: 55,</v>
      </c>
      <c r="T76" t="str">
        <f>"minutes: "&amp;$B$17&amp;","</f>
        <v>minutes: 67,</v>
      </c>
      <c r="U76" t="str">
        <f>"minutes: "&amp;$B$18&amp;","</f>
        <v>minutes: 0,</v>
      </c>
      <c r="V76" t="str">
        <f>"minutes: "&amp;$B$16&amp;","</f>
        <v>minutes: 31,</v>
      </c>
      <c r="W76" t="str">
        <f>"minutes: "&amp;$B$6&amp;","</f>
        <v>minutes: 7,</v>
      </c>
    </row>
    <row r="77" spans="1:23" x14ac:dyDescent="0.3">
      <c r="A77" t="str">
        <f>"totalActions: "&amp;$Z$4&amp;","</f>
        <v>totalActions: 28,</v>
      </c>
      <c r="B77" t="str">
        <f>"totalActions: "&amp;$Z$15&amp;","</f>
        <v>totalActions: 35,</v>
      </c>
      <c r="C77" t="str">
        <f>"totalActions: "&amp;$Z$9&amp;","</f>
        <v>totalActions: 41,</v>
      </c>
      <c r="D77" t="str">
        <f>"totalActions: "&amp;$Z$24&amp;","</f>
        <v>totalActions: 29,</v>
      </c>
      <c r="E77" t="str">
        <f>"totalActions: "&amp;$Z$12&amp;","</f>
        <v>totalActions: 15,</v>
      </c>
      <c r="F77" t="str">
        <f>"totalActions: "&amp;$Z$22&amp;","</f>
        <v>totalActions: 34,</v>
      </c>
      <c r="G77" t="str">
        <f>"totalActions: "&amp;$Z$3&amp;","</f>
        <v>totalActions: 5,</v>
      </c>
      <c r="H77" t="str">
        <f>"totalActions: "&amp;$Z$7&amp;","</f>
        <v>totalActions: 9,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4,</v>
      </c>
      <c r="M77" t="str">
        <f>"totalActions: "&amp;$Z$21&amp;","</f>
        <v>totalActions: 33,</v>
      </c>
      <c r="N77" t="str">
        <f>"totalActions: "&amp;$Z$11&amp;","</f>
        <v>totalActions: 0,</v>
      </c>
      <c r="O77" t="str">
        <f>"totalActions: "&amp;$Z$13&amp;","</f>
        <v>totalActions: 0,</v>
      </c>
      <c r="P77" t="str">
        <f>"totalActions: "&amp;$Z$5&amp;","</f>
        <v>totalActions: 28,</v>
      </c>
      <c r="Q77" t="str">
        <f>"totalActions: "&amp;$Z$10&amp;","</f>
        <v>totalActions: 3,</v>
      </c>
      <c r="R77" t="str">
        <f>"totalActions: "&amp;$Z$2&amp;","</f>
        <v>totalActions: 0,</v>
      </c>
      <c r="S77" t="str">
        <f>"totalActions: "&amp;$Z$19&amp;","</f>
        <v>totalActions: 11,</v>
      </c>
      <c r="T77" t="str">
        <f>"totalActions: "&amp;$Z$17&amp;","</f>
        <v>totalActions: 15,</v>
      </c>
      <c r="U77" t="str">
        <f>"totalActions: "&amp;$Z$18&amp;","</f>
        <v>totalActions: 0,</v>
      </c>
      <c r="V77" t="str">
        <f>"totalActions: "&amp;$Z$16&amp;","</f>
        <v>totalActions: 12,</v>
      </c>
      <c r="W77" t="str">
        <f>"totalActions: "&amp;$Z$6&amp;","</f>
        <v>totalActions: 3,</v>
      </c>
    </row>
    <row r="78" spans="1:23" x14ac:dyDescent="0.3">
      <c r="A78" t="str">
        <f>"actionsPerMinute: "&amp;TEXT($AA$4,"0.00")&amp;","</f>
        <v>actionsPerMinute: 0.65,</v>
      </c>
      <c r="B78" t="str">
        <f>"actionsPerMinute: "&amp;TEXT($AA$15,"0.00")&amp;","</f>
        <v>actionsPerMinute: 0.39,</v>
      </c>
      <c r="C78" t="str">
        <f>"actionsPerMinute: "&amp;TEXT($AA$9,"0.00")&amp;","</f>
        <v>actionsPerMinute: 0.46,</v>
      </c>
      <c r="D78" t="str">
        <f>"actionsPerMinute: "&amp;TEXT($AA$24,"0.00")&amp;","</f>
        <v>actionsPerMinute: 0.38,</v>
      </c>
      <c r="E78" t="str">
        <f>"actionsPerMinute: "&amp;TEXT($AA$12,"0.00")&amp;","</f>
        <v>actionsPerMinute: 0.37,</v>
      </c>
      <c r="F78" t="str">
        <f>"actionsPerMinute: "&amp;TEXT($AA$22,"0.00")&amp;","</f>
        <v>actionsPerMinute: 0.38,</v>
      </c>
      <c r="G78" t="str">
        <f>"actionsPerMinute: "&amp;TEXT($AA$3,"0.00")&amp;","</f>
        <v>actionsPerMinute: 0.71,</v>
      </c>
      <c r="H78" t="str">
        <f>"actionsPerMinute: "&amp;TEXT($AA$7,"0.00")&amp;","</f>
        <v>actionsPerMinute: 0.15,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0.14,</v>
      </c>
      <c r="M78" t="str">
        <f>"actionsPerMinute: "&amp;TEXT($AA$21,"0.00")&amp;","</f>
        <v>actionsPerMinute: 0.40,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0.42,</v>
      </c>
      <c r="Q78" t="str">
        <f>"actionsPerMinute: "&amp;TEXT($AA$10,"0.00")&amp;","</f>
        <v>actionsPerMinute: 0.05,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0.20,</v>
      </c>
      <c r="T78" t="str">
        <f>"actionsPerMinute: "&amp;TEXT($AA$17,"0.00")&amp;","</f>
        <v>actionsPerMinute: 0.22,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0.39,</v>
      </c>
      <c r="W78" t="str">
        <f>"actionsPerMinute: "&amp;TEXT($AA$6,"0.00")&amp;","</f>
        <v>actionsPerMinute: 0.43,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20,</v>
      </c>
      <c r="B81" t="str">
        <f>"totalActions: "&amp;$N$15&amp;","</f>
        <v>totalActions: 6,</v>
      </c>
      <c r="C81" t="str">
        <f>"totalActions: "&amp;$N$9&amp;","</f>
        <v>totalActions: 21,</v>
      </c>
      <c r="D81" t="str">
        <f>"totalActions: "&amp;$N$24&amp;","</f>
        <v>totalActions: 7,</v>
      </c>
      <c r="E81" t="str">
        <f>"totalActions: "&amp;$N$12&amp;","</f>
        <v>totalActions: 3,</v>
      </c>
      <c r="F81" t="str">
        <f>"totalActions: "&amp;$N$22&amp;","</f>
        <v>totalActions: 6,</v>
      </c>
      <c r="G81" t="str">
        <f>"totalActions: "&amp;$N$3&amp;","</f>
        <v>totalActions: 1,</v>
      </c>
      <c r="H81" t="str">
        <f>"totalActions: "&amp;$N$7&amp;","</f>
        <v>totalActions: 2,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2,</v>
      </c>
      <c r="M81" t="str">
        <f>"totalActions: "&amp;$N$21&amp;","</f>
        <v>totalActions: 4,</v>
      </c>
      <c r="N81" t="str">
        <f>"totalActions: "&amp;$N$11&amp;","</f>
        <v>totalActions: 0,</v>
      </c>
      <c r="O81" t="str">
        <f>"totalActions: "&amp;$N$13&amp;","</f>
        <v>totalActions: 0,</v>
      </c>
      <c r="P81" t="str">
        <f>"totalActions: "&amp;$N$5&amp;","</f>
        <v>totalActions: 9,</v>
      </c>
      <c r="Q81" t="str">
        <f>"totalActions: "&amp;$N$10&amp;","</f>
        <v>totalActions: 0,</v>
      </c>
      <c r="R81" t="str">
        <f>"totalActions: "&amp;$N$2&amp;","</f>
        <v>totalActions: 0,</v>
      </c>
      <c r="S81" t="str">
        <f>"totalActions: "&amp;$N$19&amp;","</f>
        <v>totalActions: 6,</v>
      </c>
      <c r="T81" t="str">
        <f>"totalActions: "&amp;$N$17&amp;","</f>
        <v>totalActions: 6,</v>
      </c>
      <c r="U81" t="str">
        <f>"totalActions: "&amp;$N$18&amp;","</f>
        <v>totalActions: 0,</v>
      </c>
      <c r="V81" t="str">
        <f>"totalActions: "&amp;$N$16&amp;","</f>
        <v>totalActions: 5,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0.47,</v>
      </c>
      <c r="B82" t="str">
        <f>"actionsPerMinute: "&amp;TEXT($O$15,"0.00")&amp;","</f>
        <v>actionsPerMinute: 0.07,</v>
      </c>
      <c r="C82" t="str">
        <f>"actionsPerMinute: "&amp;TEXT($O$9,"0.00")&amp;","</f>
        <v>actionsPerMinute: 0.23,</v>
      </c>
      <c r="D82" t="str">
        <f>"actionsPerMinute: "&amp;TEXT($O$24,"0.00")&amp;","</f>
        <v>actionsPerMinute: 0.09,</v>
      </c>
      <c r="E82" t="str">
        <f>"actionsPerMinute: "&amp;TEXT($O$12,"0.00")&amp;","</f>
        <v>actionsPerMinute: 0.07,</v>
      </c>
      <c r="F82" t="str">
        <f>"actionsPerMinute: "&amp;TEXT($O$22,"0.00")&amp;","</f>
        <v>actionsPerMinute: 0.07,</v>
      </c>
      <c r="G82" t="str">
        <f>"actionsPerMinute: "&amp;TEXT($O$3,"0.00")&amp;","</f>
        <v>actionsPerMinute: 0.14,</v>
      </c>
      <c r="H82" t="str">
        <f>"actionsPerMinute: "&amp;TEXT($O$7,"0.00")&amp;","</f>
        <v>actionsPerMinute: 0.03,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0.07,</v>
      </c>
      <c r="M82" t="str">
        <f>"actionsPerMinute: "&amp;TEXT($O$21,"0.00")&amp;","</f>
        <v>actionsPerMinute: 0.05,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0.13,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0.11,</v>
      </c>
      <c r="T82" t="str">
        <f>"actionsPerMinute: "&amp;TEXT($O$17,"0.00")&amp;","</f>
        <v>actionsPerMinute: 0.09,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0.16,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1,</v>
      </c>
      <c r="B83" t="str">
        <f>"goals: "&amp;$C$15&amp;","</f>
        <v>goals: 1,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1,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1,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0,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2,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1,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1,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2,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2,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0,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1,</v>
      </c>
      <c r="B88" t="str">
        <f>"oneVOnes: "&amp;$I$15&amp;","</f>
        <v>oneVOnes: 1,</v>
      </c>
      <c r="C88" t="str">
        <f>"oneVOnes: "&amp;$I$9&amp;","</f>
        <v>oneVOnes: 3,</v>
      </c>
      <c r="D88" t="str">
        <f>"oneVOnes: "&amp;$I$24&amp;","</f>
        <v>oneVOnes: 1,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0,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0,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0,</v>
      </c>
      <c r="Q88" t="str">
        <f>"oneVOnes: "&amp;$I$10&amp;","</f>
        <v>oneVOnes: 0,</v>
      </c>
      <c r="R88" t="str">
        <f>"oneVOnes: "&amp;$I$2&amp;","</f>
        <v>oneVOnes: 0,</v>
      </c>
      <c r="S88" t="str">
        <f>"oneVOnes: "&amp;$I$19&amp;","</f>
        <v>oneVOnes: 2,</v>
      </c>
      <c r="T88" t="str">
        <f>"oneVOnes: "&amp;$I$17&amp;","</f>
        <v>oneVOnes: 0,</v>
      </c>
      <c r="U88" t="str">
        <f>"oneVOnes: "&amp;$I$18&amp;","</f>
        <v>oneVOnes: 0,</v>
      </c>
      <c r="V88" t="str">
        <f>"oneVOnes: "&amp;$I$16&amp;","</f>
        <v>oneVOnes: 0,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6,</v>
      </c>
      <c r="B89" t="str">
        <f>"headers: "&amp;$J$15&amp;","</f>
        <v>headers: 0,</v>
      </c>
      <c r="C89" t="str">
        <f>"headers: "&amp;$J$9&amp;","</f>
        <v>headers: 1,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1,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0,</v>
      </c>
      <c r="N89" t="str">
        <f>"headers: "&amp;$J$11&amp;","</f>
        <v>headers: 0,</v>
      </c>
      <c r="O89" t="str">
        <f>"headers: "&amp;$J$13&amp;","</f>
        <v>headers: 0,</v>
      </c>
      <c r="P89" t="str">
        <f>"headers: "&amp;$J$5&amp;","</f>
        <v>headers: 2,</v>
      </c>
      <c r="Q89" t="str">
        <f>"headers: "&amp;$J$10&amp;","</f>
        <v>headers: 0,</v>
      </c>
      <c r="R89" t="str">
        <f>"headers: "&amp;$J$2&amp;","</f>
        <v>headers: 0,</v>
      </c>
      <c r="S89" t="str">
        <f>"headers: "&amp;$J$19&amp;","</f>
        <v>headers: 1,</v>
      </c>
      <c r="T89" t="str">
        <f>"headers: "&amp;$J$17&amp;","</f>
        <v>headers: 2,</v>
      </c>
      <c r="U89" t="str">
        <f>"headers: "&amp;$J$18&amp;","</f>
        <v>headers: 0,</v>
      </c>
      <c r="V89" t="str">
        <f>"headers: "&amp;$J$16&amp;","</f>
        <v>headers: 3,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4,</v>
      </c>
      <c r="B90" t="str">
        <f>"spEarned: "&amp;$K$15&amp;","</f>
        <v>spEarned: 1,</v>
      </c>
      <c r="C90" t="str">
        <f>"spEarned: "&amp;$K$9&amp;","</f>
        <v>spEarned: 5,</v>
      </c>
      <c r="D90" t="str">
        <f>"spEarned: "&amp;$K$24&amp;","</f>
        <v>spEarned: 1,</v>
      </c>
      <c r="E90" t="str">
        <f>"spEarned: "&amp;$K$12&amp;","</f>
        <v>spEarned: 0,</v>
      </c>
      <c r="F90" t="str">
        <f>"spEarned: "&amp;$K$22&amp;","</f>
        <v>spEarned: 1,</v>
      </c>
      <c r="G90" t="str">
        <f>"spEarned: "&amp;$K$3&amp;","</f>
        <v>spEarned: 1,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1,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2,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1,</v>
      </c>
      <c r="T90" t="str">
        <f>"spEarned: "&amp;$K$17&amp;","</f>
        <v>spEarned: 2,</v>
      </c>
      <c r="U90" t="str">
        <f>"spEarned: "&amp;$K$18&amp;","</f>
        <v>spEarned: 0,</v>
      </c>
      <c r="V90" t="str">
        <f>"spEarned: "&amp;$K$16&amp;","</f>
        <v>spEarned: 1,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2,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1,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1,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0,</v>
      </c>
      <c r="T91" t="str">
        <f>"onTargetShots: "&amp;$M$17&amp;","</f>
        <v>onTargetShots: 1,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2,</v>
      </c>
      <c r="B92" t="str">
        <f>"offTargetShots: "&amp;$L$15&amp;","</f>
        <v>offTargetShots: 1,</v>
      </c>
      <c r="C92" t="str">
        <f>"offTargetShots: "&amp;$L$9&amp;","</f>
        <v>offTargetShots: 0,</v>
      </c>
      <c r="D92" t="str">
        <f>"offTargetShots: "&amp;$L$24&amp;","</f>
        <v>offTargetShots: 2,</v>
      </c>
      <c r="E92" t="str">
        <f>"offTargetShots: "&amp;$L$12&amp;","</f>
        <v>offTargetShots: 0,</v>
      </c>
      <c r="F92" t="str">
        <f>"offTargetShots: "&amp;$L$22&amp;","</f>
        <v>offTargetShots: 1,</v>
      </c>
      <c r="G92" t="str">
        <f>"offTargetShots: "&amp;$L$3&amp;","</f>
        <v>offTargetShots: 0,</v>
      </c>
      <c r="H92" t="str">
        <f>"offTargetShots: "&amp;$L$7&amp;","</f>
        <v>offTargetShots: 1,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0,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0,</v>
      </c>
      <c r="R92" t="str">
        <f>"offTargetShots: "&amp;$L$2&amp;","</f>
        <v>offTargetShots: 0,</v>
      </c>
      <c r="S92" t="str">
        <f>"offTargetShots: "&amp;$L$19&amp;","</f>
        <v>offTargetShots: 1,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8,</v>
      </c>
      <c r="B96" t="str">
        <f>"totalActions: "&amp;$X$15&amp;","</f>
        <v>totalActions: 29,</v>
      </c>
      <c r="C96" t="str">
        <f>"totalActions: "&amp;$X$9&amp;","</f>
        <v>totalActions: 20,</v>
      </c>
      <c r="D96" t="str">
        <f>"totalActions: "&amp;$X$24&amp;","</f>
        <v>totalActions: 22,</v>
      </c>
      <c r="E96" t="str">
        <f>"totalActions: "&amp;$X$12&amp;","</f>
        <v>totalActions: 12,</v>
      </c>
      <c r="F96" t="str">
        <f>"totalActions: "&amp;$X$22&amp;","</f>
        <v>totalActions: 28,</v>
      </c>
      <c r="G96" t="str">
        <f>"totalActions: "&amp;$X$3&amp;","</f>
        <v>totalActions: 4,</v>
      </c>
      <c r="H96" t="str">
        <f>"totalActions: "&amp;$X$7&amp;","</f>
        <v>totalActions: 7,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2,</v>
      </c>
      <c r="M96" t="str">
        <f>"totalActions: "&amp;$X$21&amp;","</f>
        <v>totalActions: 29,</v>
      </c>
      <c r="N96" t="str">
        <f>"totalActions: "&amp;$X$11&amp;","</f>
        <v>totalActions: 0,</v>
      </c>
      <c r="O96" t="str">
        <f>"totalActions: "&amp;$X$13&amp;","</f>
        <v>totalActions: 0,</v>
      </c>
      <c r="P96" t="str">
        <f>"totalActions: "&amp;$X$5&amp;","</f>
        <v>totalActions: 19,</v>
      </c>
      <c r="Q96" t="str">
        <f>"totalActions: "&amp;$X$10&amp;","</f>
        <v>totalActions: 3,</v>
      </c>
      <c r="R96" t="str">
        <f>"totalActions: "&amp;$X$2&amp;","</f>
        <v>totalActions: 0,</v>
      </c>
      <c r="S96" t="str">
        <f>"totalActions: "&amp;$X$19&amp;","</f>
        <v>totalActions: 5,</v>
      </c>
      <c r="T96" t="str">
        <f>"totalActions: "&amp;$X$17&amp;","</f>
        <v>totalActions: 9,</v>
      </c>
      <c r="U96" t="str">
        <f>"totalActions: "&amp;$X$18&amp;","</f>
        <v>totalActions: 0,</v>
      </c>
      <c r="V96" t="str">
        <f>"totalActions: "&amp;$X$16&amp;","</f>
        <v>totalActions: 7,</v>
      </c>
      <c r="W96" t="str">
        <f>"totalActions: "&amp;$X$6&amp;","</f>
        <v>totalActions: 3,</v>
      </c>
    </row>
    <row r="97" spans="1:23" x14ac:dyDescent="0.3">
      <c r="A97" t="str">
        <f>"actionsPerMinute: "&amp;TEXT($Y$4,"0.00")&amp;","</f>
        <v>actionsPerMinute: 0.19,</v>
      </c>
      <c r="B97" t="str">
        <f>"actionsPerMinute: "&amp;TEXT($Y$15,"0.00")&amp;","</f>
        <v>actionsPerMinute: 0.32,</v>
      </c>
      <c r="C97" t="str">
        <f>"actionsPerMinute: "&amp;TEXT($Y$9,"0.00")&amp;","</f>
        <v>actionsPerMinute: 0.22,</v>
      </c>
      <c r="D97" t="str">
        <f>"actionsPerMinute: "&amp;TEXT($Y$24,"0.00")&amp;","</f>
        <v>actionsPerMinute: 0.29,</v>
      </c>
      <c r="E97" t="str">
        <f>"actionsPerMinute: "&amp;TEXT($Y$12,"0.00")&amp;","</f>
        <v>actionsPerMinute: 0.29,</v>
      </c>
      <c r="F97" t="str">
        <f>"actionsPerMinute: "&amp;TEXT($Y$22,"0.00")&amp;","</f>
        <v>actionsPerMinute: 0.31,</v>
      </c>
      <c r="G97" t="str">
        <f>"actionsPerMinute: "&amp;TEXT($Y$3,"0.00")&amp;","</f>
        <v>actionsPerMinute: 0.57,</v>
      </c>
      <c r="H97" t="str">
        <f>"actionsPerMinute: "&amp;TEXT($Y$7,"0.00")&amp;","</f>
        <v>actionsPerMinute: 0.11,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0.07,</v>
      </c>
      <c r="M97" t="str">
        <f>"actionsPerMinute: "&amp;TEXT($Y$21,"0.00")&amp;","</f>
        <v>actionsPerMinute: 0.35,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0.28,</v>
      </c>
      <c r="Q97" t="str">
        <f>"actionsPerMinute: "&amp;TEXT($Y$10,"0.00")&amp;","</f>
        <v>actionsPerMinute: 0.05,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0.09,</v>
      </c>
      <c r="T97" t="str">
        <f>"actionsPerMinute: "&amp;TEXT($Y$17,"0.00")&amp;","</f>
        <v>actionsPerMinute: 0.13,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0.23,</v>
      </c>
      <c r="W97" t="str">
        <f>"actionsPerMinute: "&amp;TEXT($Y$6,"0.00")&amp;","</f>
        <v>actionsPerMinute: 0.43,</v>
      </c>
    </row>
    <row r="98" spans="1:23" x14ac:dyDescent="0.3">
      <c r="A98" t="str">
        <f>"tackles: "&amp;$P$4&amp;","</f>
        <v>tackles: 0,</v>
      </c>
      <c r="B98" t="str">
        <f>"tackles: "&amp;$P$15&amp;","</f>
        <v>tackles: 2,</v>
      </c>
      <c r="C98" t="str">
        <f>"tackles: "&amp;$P$9&amp;","</f>
        <v>tackles: 1,</v>
      </c>
      <c r="D98" t="str">
        <f>"tackles: "&amp;$P$24&amp;","</f>
        <v>tackles: 3,</v>
      </c>
      <c r="E98" t="str">
        <f>"tackles: "&amp;$P$12&amp;","</f>
        <v>tackles: 0,</v>
      </c>
      <c r="F98" t="str">
        <f>"tackles: "&amp;$P$22&amp;","</f>
        <v>tackles: 5,</v>
      </c>
      <c r="G98" t="str">
        <f>"tackles: "&amp;$P$3&amp;","</f>
        <v>tackles: 0,</v>
      </c>
      <c r="H98" t="str">
        <f>"tackles: "&amp;$P$7&amp;","</f>
        <v>tackles: 1,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4,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1,</v>
      </c>
      <c r="R98" t="str">
        <f>"tackles: "&amp;$P$2&amp;","</f>
        <v>tackles: 0,</v>
      </c>
      <c r="S98" t="str">
        <f>"tackles: "&amp;$P$19&amp;","</f>
        <v>tackles: 0,</v>
      </c>
      <c r="T98" t="str">
        <f>"tackles: "&amp;$P$17&amp;","</f>
        <v>tackles: 0,</v>
      </c>
      <c r="U98" t="str">
        <f>"tackles: "&amp;$P$18&amp;","</f>
        <v>tackles: 0,</v>
      </c>
      <c r="V98" t="str">
        <f>"tackles: "&amp;$P$16&amp;","</f>
        <v>tackles: 3,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0,</v>
      </c>
      <c r="B99" t="str">
        <f>"interceptions: "&amp;$Q$15&amp;","</f>
        <v>interceptions: 5,</v>
      </c>
      <c r="C99" t="str">
        <f>"interceptions: "&amp;$Q$9&amp;","</f>
        <v>interceptions: 6,</v>
      </c>
      <c r="D99" t="str">
        <f>"interceptions: "&amp;$Q$24&amp;","</f>
        <v>interceptions: 5,</v>
      </c>
      <c r="E99" t="str">
        <f>"interceptions: "&amp;$Q$12&amp;","</f>
        <v>interceptions: 4,</v>
      </c>
      <c r="F99" t="str">
        <f>"interceptions: "&amp;$Q$22&amp;","</f>
        <v>interceptions: 5,</v>
      </c>
      <c r="G99" t="str">
        <f>"interceptions: "&amp;$Q$3&amp;","</f>
        <v>interceptions: 1,</v>
      </c>
      <c r="H99" t="str">
        <f>"interceptions: "&amp;$Q$7&amp;","</f>
        <v>interceptions: 0,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0,</v>
      </c>
      <c r="M99" t="str">
        <f>"interceptions: "&amp;$Q$21&amp;","</f>
        <v>interceptions: 4,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5,</v>
      </c>
      <c r="Q99" t="str">
        <f>"interceptions: "&amp;$Q$10&amp;","</f>
        <v>interceptions: 0,</v>
      </c>
      <c r="R99" t="str">
        <f>"interceptions: "&amp;$Q$2&amp;","</f>
        <v>interceptions: 0,</v>
      </c>
      <c r="S99" t="str">
        <f>"interceptions: "&amp;$Q$19&amp;","</f>
        <v>interceptions: 1,</v>
      </c>
      <c r="T99" t="str">
        <f>"interceptions: "&amp;$Q$17&amp;","</f>
        <v>interceptions: 0,</v>
      </c>
      <c r="U99" t="str">
        <f>"interceptions: "&amp;$Q$18&amp;","</f>
        <v>interceptions: 0,</v>
      </c>
      <c r="V99" t="str">
        <f>"interceptions: "&amp;$Q$16&amp;","</f>
        <v>interceptions: 3,</v>
      </c>
      <c r="W99" t="str">
        <f>"interceptions: "&amp;$Q$6&amp;","</f>
        <v>interceptions: 1,</v>
      </c>
    </row>
    <row r="100" spans="1:23" x14ac:dyDescent="0.3">
      <c r="A100" t="str">
        <f>"fhRegains: "&amp;$R$4&amp;","</f>
        <v>fhRegains: 1,</v>
      </c>
      <c r="B100" t="str">
        <f>"fhRegains: "&amp;$R$15&amp;","</f>
        <v>fhRegains: 1,</v>
      </c>
      <c r="C100" t="str">
        <f>"fhRegains: "&amp;$R$9&amp;","</f>
        <v>fhRegains: 2,</v>
      </c>
      <c r="D100" t="str">
        <f>"fhRegains: "&amp;$R$24&amp;","</f>
        <v>fhRegains: 3,</v>
      </c>
      <c r="E100" t="str">
        <f>"fhRegains: "&amp;$R$12&amp;","</f>
        <v>fhRegains: 0,</v>
      </c>
      <c r="F100" t="str">
        <f>"fhRegains: "&amp;$R$22&amp;","</f>
        <v>fhRegains: 2,</v>
      </c>
      <c r="G100" t="str">
        <f>"fhRegains: "&amp;$R$3&amp;","</f>
        <v>fhRegains: 1,</v>
      </c>
      <c r="H100" t="str">
        <f>"fhRegains: "&amp;$R$7&amp;","</f>
        <v>fhRegains: 0,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0,</v>
      </c>
      <c r="M100" t="str">
        <f>"fhRegains: "&amp;$R$21&amp;","</f>
        <v>fhRegains: 2,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1,</v>
      </c>
      <c r="Q100" t="str">
        <f>"fhRegains: "&amp;$R$10&amp;","</f>
        <v>fhRegains: 0,</v>
      </c>
      <c r="R100" t="str">
        <f>"fhRegains: "&amp;$R$2&amp;","</f>
        <v>fhRegains: 0,</v>
      </c>
      <c r="S100" t="str">
        <f>"fhRegains: "&amp;$R$19&amp;","</f>
        <v>fhRegains: 0,</v>
      </c>
      <c r="T100" t="str">
        <f>"fhRegains: "&amp;$R$17&amp;","</f>
        <v>fhRegains: 1,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3,</v>
      </c>
      <c r="C101" t="str">
        <f>"blocks: "&amp;$S$9&amp;","</f>
        <v>blocks: 0,</v>
      </c>
      <c r="D101" t="str">
        <f>"blocks: "&amp;$S$24&amp;","</f>
        <v>blocks: 1,</v>
      </c>
      <c r="E101" t="str">
        <f>"blocks: "&amp;$S$12&amp;","</f>
        <v>blocks: 0,</v>
      </c>
      <c r="F101" t="str">
        <f>"blocks: "&amp;$S$22&amp;","</f>
        <v>blocks: 3,</v>
      </c>
      <c r="G101" t="str">
        <f>"blocks: "&amp;$S$3&amp;","</f>
        <v>blocks: 0,</v>
      </c>
      <c r="H101" t="str">
        <f>"blocks: "&amp;$S$7&amp;","</f>
        <v>blocks: 1,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1,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1,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1,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4,</v>
      </c>
      <c r="C102" t="str">
        <f>"clearances: "&amp;$T$9&amp;","</f>
        <v>clearances: 1,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3,</v>
      </c>
      <c r="G102" t="str">
        <f>"clearances: "&amp;$T$3&amp;","</f>
        <v>clearances: 0,</v>
      </c>
      <c r="H102" t="str">
        <f>"clearances: "&amp;$T$7&amp;","</f>
        <v>clearances: 0,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0,</v>
      </c>
      <c r="M102" t="str">
        <f>"clearances: "&amp;$T$21&amp;","</f>
        <v>clearances: 1,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2,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2,</v>
      </c>
      <c r="B103" t="str">
        <f>"separations: "&amp;$U$15&amp;","</f>
        <v>separations: 1,</v>
      </c>
      <c r="C103" t="str">
        <f>"separations: "&amp;$U$9&amp;","</f>
        <v>separations: 1,</v>
      </c>
      <c r="D103" t="str">
        <f>"separations: "&amp;$U$24&amp;","</f>
        <v>separations: 1,</v>
      </c>
      <c r="E103" t="str">
        <f>"separations: "&amp;$U$12&amp;","</f>
        <v>separations: 2,</v>
      </c>
      <c r="F103" t="str">
        <f>"separations: "&amp;$U$22&amp;","</f>
        <v>separations: 0,</v>
      </c>
      <c r="G103" t="str">
        <f>"separations: "&amp;$U$3&amp;","</f>
        <v>separations: 2,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0,</v>
      </c>
      <c r="M103" t="str">
        <f>"separations: "&amp;$U$21&amp;","</f>
        <v>separations: 1,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1,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1,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2,</v>
      </c>
      <c r="B104" t="str">
        <f>"headers: "&amp;$V$15&amp;","</f>
        <v>headers: 8,</v>
      </c>
      <c r="C104" t="str">
        <f>"headers: "&amp;$V$9&amp;","</f>
        <v>headers: 4,</v>
      </c>
      <c r="D104" t="str">
        <f>"headers: "&amp;$V$24&amp;","</f>
        <v>headers: 3,</v>
      </c>
      <c r="E104" t="str">
        <f>"headers: "&amp;$V$12&amp;","</f>
        <v>headers: 2,</v>
      </c>
      <c r="F104" t="str">
        <f>"headers: "&amp;$V$22&amp;","</f>
        <v>headers: 5,</v>
      </c>
      <c r="G104" t="str">
        <f>"headers: "&amp;$V$3&amp;","</f>
        <v>headers: 0,</v>
      </c>
      <c r="H104" t="str">
        <f>"headers: "&amp;$V$7&amp;","</f>
        <v>headers: 1,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0,</v>
      </c>
      <c r="M104" t="str">
        <f>"headers: "&amp;$V$21&amp;","</f>
        <v>headers: 7,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1,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2,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3,</v>
      </c>
      <c r="B105" t="str">
        <f>"stopForwardCA: "&amp;$W$15&amp;","</f>
        <v>stopForwardCA: 5,</v>
      </c>
      <c r="C105" t="str">
        <f>"stopForwardCA: "&amp;$W$9&amp;","</f>
        <v>stopForwardCA: 5,</v>
      </c>
      <c r="D105" t="str">
        <f>"stopForwardCA: "&amp;$W$24&amp;","</f>
        <v>stopForwardCA: 6,</v>
      </c>
      <c r="E105" t="str">
        <f>"stopForwardCA: "&amp;$W$12&amp;","</f>
        <v>stopForwardCA: 4,</v>
      </c>
      <c r="F105" t="str">
        <f>"stopForwardCA: "&amp;$W$22&amp;","</f>
        <v>stopForwardCA: 5,</v>
      </c>
      <c r="G105" t="str">
        <f>"stopForwardCA: "&amp;$W$3&amp;","</f>
        <v>stopForwardCA: 0,</v>
      </c>
      <c r="H105" t="str">
        <f>"stopForwardCA: "&amp;$W$7&amp;","</f>
        <v>stopForwardCA: 4,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1,</v>
      </c>
      <c r="M105" t="str">
        <f>"stopForwardCA: "&amp;$W$21&amp;","</f>
        <v>stopForwardCA: 10,</v>
      </c>
      <c r="N105" t="str">
        <f>"stopForwardCA: "&amp;$W$11&amp;","</f>
        <v>stopForwardCA: 0,</v>
      </c>
      <c r="O105" t="str">
        <f>"stopForwardCA: "&amp;$W$13&amp;","</f>
        <v>stopForwardCA: 0,</v>
      </c>
      <c r="P105" t="str">
        <f>"stopForwardCA: "&amp;$W$5&amp;","</f>
        <v>stopForwardCA: 8,</v>
      </c>
      <c r="Q105" t="str">
        <f>"stopForwardCA: "&amp;$W$10&amp;","</f>
        <v>stopForwardCA: 2,</v>
      </c>
      <c r="R105" t="str">
        <f>"stopForwardCA: "&amp;$W$2&amp;","</f>
        <v>stopForwardCA: 0,</v>
      </c>
      <c r="S105" t="str">
        <f>"stopForwardCA: "&amp;$W$19&amp;","</f>
        <v>stopForwardCA: 4,</v>
      </c>
      <c r="T105" t="str">
        <f>"stopForwardCA: "&amp;$W$17&amp;","</f>
        <v>stopForwardCA: 4,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2,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43,</v>
      </c>
      <c r="B109" t="str">
        <f>"minutes: "&amp;B$15&amp;","</f>
        <v>minutes: 90,</v>
      </c>
      <c r="C109" t="str">
        <f>"minutes: "&amp;B$9&amp;","</f>
        <v>minutes: 90,</v>
      </c>
      <c r="D109" t="str">
        <f>"minutes: "&amp;B$24&amp;","</f>
        <v>minutes: 76,</v>
      </c>
      <c r="E109" t="str">
        <f>"minutes: "&amp;B$12&amp;","</f>
        <v>minutes: 41,</v>
      </c>
      <c r="F109" t="str">
        <f>"minutes: "&amp;B$22&amp;","</f>
        <v>minutes: 90,</v>
      </c>
      <c r="G109" t="str">
        <f>"minutes: "&amp;B$3&amp;","</f>
        <v>minutes: 7,</v>
      </c>
      <c r="H109" t="str">
        <f>"minutes: "&amp;B$7&amp;","</f>
        <v>minutes: 61,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29,</v>
      </c>
      <c r="M109" t="str">
        <f>"minutes: "&amp;B$21&amp;","</f>
        <v>minutes: 83,</v>
      </c>
      <c r="N109" t="str">
        <f>"minutes: "&amp;B$11&amp;","</f>
        <v>minutes: 7,</v>
      </c>
      <c r="O109" t="str">
        <f>"minutes: "&amp;B$13&amp;","</f>
        <v>minutes: 0,</v>
      </c>
      <c r="P109" t="str">
        <f>"minutes: "&amp;B$5&amp;","</f>
        <v>minutes: 67,</v>
      </c>
      <c r="Q109" t="str">
        <f>"minutes: "&amp;B$10&amp;","</f>
        <v>minutes: 56,</v>
      </c>
      <c r="R109" t="str">
        <f>"minutes: "&amp;B$2&amp;","</f>
        <v>minutes: 0,</v>
      </c>
      <c r="S109" t="str">
        <f>"minutes: "&amp;B$19&amp;","</f>
        <v>minutes: 55,</v>
      </c>
      <c r="T109" t="str">
        <f>"minutes: "&amp;B$17&amp;","</f>
        <v>minutes: 67,</v>
      </c>
      <c r="U109" t="str">
        <f>"minutes: "&amp;B$18&amp;","</f>
        <v>minutes: 0,</v>
      </c>
      <c r="V109" t="str">
        <f>"minutes: "&amp;B$16&amp;","</f>
        <v>minutes: 31,</v>
      </c>
      <c r="W109" t="str">
        <f>"minutes: "&amp;B$6&amp;","</f>
        <v>minutes: 7,</v>
      </c>
    </row>
    <row r="110" spans="1:23" x14ac:dyDescent="0.3">
      <c r="A110" t="str">
        <f>"goals: "&amp;$C$4&amp;","</f>
        <v>goals: 1,</v>
      </c>
      <c r="B110" t="str">
        <f>"goals: "&amp;$C$15&amp;","</f>
        <v>goals: 1,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1,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1,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4,</v>
      </c>
      <c r="B113" t="str">
        <f>"startCA: "&amp;$F$15&amp;","</f>
        <v>startCA: 2,</v>
      </c>
      <c r="C113" t="str">
        <f>"startCA: "&amp;$F$9&amp;","</f>
        <v>startCA: 8,</v>
      </c>
      <c r="D113" t="str">
        <f>"startCA: "&amp;$F$24&amp;","</f>
        <v>startCA: 3,</v>
      </c>
      <c r="E113" t="str">
        <f>"startCA: "&amp;$F$12&amp;","</f>
        <v>startCA: 3,</v>
      </c>
      <c r="F113" t="str">
        <f>"startCA: "&amp;$F$22&amp;","</f>
        <v>startCA: 2,</v>
      </c>
      <c r="G113" t="str">
        <f>"startCA: "&amp;$F$3&amp;","</f>
        <v>startCA: 0,</v>
      </c>
      <c r="H113" t="str">
        <f>"startCA: "&amp;$F$7&amp;","</f>
        <v>startCA: 1,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0,</v>
      </c>
      <c r="M113" t="str">
        <f>"startCA: "&amp;$F$21&amp;","</f>
        <v>startCA: 3,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4,</v>
      </c>
      <c r="Q113" t="str">
        <f>"startCA: "&amp;$F$10&amp;","</f>
        <v>startCA: 0,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1,</v>
      </c>
      <c r="U113" t="str">
        <f>"startCA: "&amp;$F$18&amp;","</f>
        <v>startCA: 0,</v>
      </c>
      <c r="V113" t="str">
        <f>"startCA: "&amp;$F$16&amp;","</f>
        <v>startCA: 1,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0,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2,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1,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1,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2,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2,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0,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1,</v>
      </c>
      <c r="B116" t="str">
        <f>"oneVones: "&amp;$I$15&amp;","</f>
        <v>oneVones: 1,</v>
      </c>
      <c r="C116" t="str">
        <f>"oneVones: "&amp;$I$9&amp;","</f>
        <v>oneVones: 3,</v>
      </c>
      <c r="D116" t="str">
        <f>"oneVones: "&amp;$I$24&amp;","</f>
        <v>oneVones: 1,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0,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0,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0,</v>
      </c>
      <c r="Q116" t="str">
        <f>"oneVones: "&amp;$I$10&amp;","</f>
        <v>oneVones: 0,</v>
      </c>
      <c r="R116" t="str">
        <f>"oneVones: "&amp;$I$2&amp;","</f>
        <v>oneVones: 0,</v>
      </c>
      <c r="S116" t="str">
        <f>"oneVones: "&amp;$I$19&amp;","</f>
        <v>oneVones: 2,</v>
      </c>
      <c r="T116" t="str">
        <f>"oneVones: "&amp;$I$17&amp;","</f>
        <v>oneVones: 0,</v>
      </c>
      <c r="U116" t="str">
        <f>"oneVones: "&amp;$I$18&amp;","</f>
        <v>oneVones: 0,</v>
      </c>
      <c r="V116" t="str">
        <f>"oneVones: "&amp;$I$16&amp;","</f>
        <v>oneVones: 0,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6,</v>
      </c>
      <c r="B117" t="str">
        <f>"attHeaders: "&amp;$J$15&amp;","</f>
        <v>attHeaders: 0,</v>
      </c>
      <c r="C117" t="str">
        <f>"attHeaders: "&amp;$J$9&amp;","</f>
        <v>attHeaders: 1,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1,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0,</v>
      </c>
      <c r="N117" t="str">
        <f>"attHeaders: "&amp;$J$11&amp;","</f>
        <v>attHeaders: 0,</v>
      </c>
      <c r="O117" t="str">
        <f>"attHeaders: "&amp;$J$13&amp;","</f>
        <v>attHeaders: 0,</v>
      </c>
      <c r="P117" t="str">
        <f>"attHeaders: "&amp;$J$5&amp;","</f>
        <v>attHeaders: 2,</v>
      </c>
      <c r="Q117" t="str">
        <f>"attHeaders: "&amp;$J$10&amp;","</f>
        <v>attHeaders: 0,</v>
      </c>
      <c r="R117" t="str">
        <f>"attHeaders: "&amp;$J$2&amp;","</f>
        <v>attHeaders: 0,</v>
      </c>
      <c r="S117" t="str">
        <f>"attHeaders: "&amp;$J$19&amp;","</f>
        <v>attHeaders: 1,</v>
      </c>
      <c r="T117" t="str">
        <f>"attHeaders: "&amp;$J$17&amp;","</f>
        <v>attHeaders: 2,</v>
      </c>
      <c r="U117" t="str">
        <f>"attHeaders: "&amp;$J$18&amp;","</f>
        <v>attHeaders: 0,</v>
      </c>
      <c r="V117" t="str">
        <f>"attHeaders: "&amp;$J$16&amp;","</f>
        <v>attHeaders: 3,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4,</v>
      </c>
      <c r="B118" t="str">
        <f>"spEarned: "&amp;$K$15&amp;","</f>
        <v>spEarned: 1,</v>
      </c>
      <c r="C118" t="str">
        <f>"spEarned: "&amp;$K$9&amp;","</f>
        <v>spEarned: 5,</v>
      </c>
      <c r="D118" t="str">
        <f>"spEarned: "&amp;$K$24&amp;","</f>
        <v>spEarned: 1,</v>
      </c>
      <c r="E118" t="str">
        <f>"spEarned: "&amp;$K$12&amp;","</f>
        <v>spEarned: 0,</v>
      </c>
      <c r="F118" t="str">
        <f>"spEarned: "&amp;$K$22&amp;","</f>
        <v>spEarned: 1,</v>
      </c>
      <c r="G118" t="str">
        <f>"spEarned: "&amp;$K$3&amp;","</f>
        <v>spEarned: 1,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1,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2,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1,</v>
      </c>
      <c r="T118" t="str">
        <f>"spEarned: "&amp;$K$17&amp;","</f>
        <v>spEarned: 2,</v>
      </c>
      <c r="U118" t="str">
        <f>"spEarned: "&amp;$K$18&amp;","</f>
        <v>spEarned: 0,</v>
      </c>
      <c r="V118" t="str">
        <f>"spEarned: "&amp;$K$16&amp;","</f>
        <v>spEarned: 1,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2,</v>
      </c>
      <c r="B119" t="str">
        <f>"offTargetShots: "&amp;$L$15&amp;","</f>
        <v>offTargetShots: 1,</v>
      </c>
      <c r="C119" t="str">
        <f>"offTargetShots: "&amp;$L$9&amp;","</f>
        <v>offTargetShots: 0,</v>
      </c>
      <c r="D119" t="str">
        <f>"offTargetShots: "&amp;$L$24&amp;","</f>
        <v>offTargetShots: 2,</v>
      </c>
      <c r="E119" t="str">
        <f>"offTargetShots: "&amp;$L$12&amp;","</f>
        <v>offTargetShots: 0,</v>
      </c>
      <c r="F119" t="str">
        <f>"offTargetShots: "&amp;$L$22&amp;","</f>
        <v>offTargetShots: 1,</v>
      </c>
      <c r="G119" t="str">
        <f>"offTargetShots: "&amp;$L$3&amp;","</f>
        <v>offTargetShots: 0,</v>
      </c>
      <c r="H119" t="str">
        <f>"offTargetShots: "&amp;$L$7&amp;","</f>
        <v>offTargetShots: 1,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0,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0,</v>
      </c>
      <c r="R119" t="str">
        <f>"offTargetShots: "&amp;$L$2&amp;","</f>
        <v>offTargetShots: 0,</v>
      </c>
      <c r="S119" t="str">
        <f>"offTargetShots: "&amp;$L$19&amp;","</f>
        <v>offTargetShots: 1,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2,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1,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1,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0,</v>
      </c>
      <c r="T120" t="str">
        <f>"onTargetShots: "&amp;$M$17&amp;","</f>
        <v>onTargetShots: 1,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0.47,</v>
      </c>
      <c r="B121" t="str">
        <f>"totalOffActMin: "&amp;TEXT($O$15,"0.00")&amp;","</f>
        <v>totalOffActMin: 0.07,</v>
      </c>
      <c r="C121" t="str">
        <f>"totalOffActMin: "&amp;TEXT($O$9,"0.00")&amp;","</f>
        <v>totalOffActMin: 0.23,</v>
      </c>
      <c r="D121" t="str">
        <f>"totalOffActMin: "&amp;TEXT($O$24,"0.00")&amp;","</f>
        <v>totalOffActMin: 0.09,</v>
      </c>
      <c r="E121" t="str">
        <f>"totalOffActMin: "&amp;TEXT($O$12,"0.00")&amp;","</f>
        <v>totalOffActMin: 0.07,</v>
      </c>
      <c r="F121" t="str">
        <f>"totalOffActMin: "&amp;TEXT($O$22,"0.00")&amp;","</f>
        <v>totalOffActMin: 0.07,</v>
      </c>
      <c r="G121" t="str">
        <f>"totalOffActMin: "&amp;TEXT($O$3,"0.00")&amp;","</f>
        <v>totalOffActMin: 0.14,</v>
      </c>
      <c r="H121" t="str">
        <f>"totalOffActMin: "&amp;TEXT($O$7,"0.00")&amp;","</f>
        <v>totalOffActMin: 0.03,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0.07,</v>
      </c>
      <c r="M121" t="str">
        <f>"totalOffActMin: "&amp;TEXT($O$21,"0.00")&amp;","</f>
        <v>totalOffActMin: 0.05,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0.13,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0.11,</v>
      </c>
      <c r="T121" t="str">
        <f>"totalOffActMin: "&amp;TEXT($O$17,"0.00")&amp;","</f>
        <v>totalOffActMin: 0.09,</v>
      </c>
      <c r="U121" t="str">
        <f>"totalOffActMin: "&amp;TEXT($O$18,"0.00")&amp;","</f>
        <v>totalOffActMin: 0.00,</v>
      </c>
      <c r="V121" t="str">
        <f>"totalOffActMin: "&amp;TEXT($O$16,"0.00")&amp;","</f>
        <v>totalOffActMin: 0.16,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2,</v>
      </c>
      <c r="C122" t="str">
        <f>"tackles: "&amp;$P$9&amp;","</f>
        <v>tackles: 1,</v>
      </c>
      <c r="D122" t="str">
        <f>"tackles: "&amp;$P$24&amp;","</f>
        <v>tackles: 3,</v>
      </c>
      <c r="E122" t="str">
        <f>"tackles: "&amp;$P$12&amp;","</f>
        <v>tackles: 0,</v>
      </c>
      <c r="F122" t="str">
        <f>"tackles: "&amp;$P$22&amp;","</f>
        <v>tackles: 5,</v>
      </c>
      <c r="G122" t="str">
        <f>"tackles: "&amp;$P$3&amp;","</f>
        <v>tackles: 0,</v>
      </c>
      <c r="H122" t="str">
        <f>"tackles: "&amp;$P$7&amp;","</f>
        <v>tackles: 1,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4,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1,</v>
      </c>
      <c r="R122" t="str">
        <f>"tackles: "&amp;$P$2&amp;","</f>
        <v>tackles: 0,</v>
      </c>
      <c r="S122" t="str">
        <f>"tackles: "&amp;$P$19&amp;","</f>
        <v>tackles: 0,</v>
      </c>
      <c r="T122" t="str">
        <f>"tackles: "&amp;$P$17&amp;","</f>
        <v>tackles: 0,</v>
      </c>
      <c r="U122" t="str">
        <f>"tackles: "&amp;$P$18&amp;","</f>
        <v>tackles: 0,</v>
      </c>
      <c r="V122" t="str">
        <f>"tackles: "&amp;$P$16&amp;","</f>
        <v>tackles: 3,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0,</v>
      </c>
      <c r="B123" t="str">
        <f>"interceptions: "&amp;$Q$15&amp;","</f>
        <v>interceptions: 5,</v>
      </c>
      <c r="C123" t="str">
        <f>"interceptions: "&amp;$Q$9&amp;","</f>
        <v>interceptions: 6,</v>
      </c>
      <c r="D123" t="str">
        <f>"interceptions: "&amp;$Q$24&amp;","</f>
        <v>interceptions: 5,</v>
      </c>
      <c r="E123" t="str">
        <f>"interceptions: "&amp;$Q$12&amp;","</f>
        <v>interceptions: 4,</v>
      </c>
      <c r="F123" t="str">
        <f>"interceptions: "&amp;$Q$22&amp;","</f>
        <v>interceptions: 5,</v>
      </c>
      <c r="G123" t="str">
        <f>"interceptions: "&amp;$Q$3&amp;","</f>
        <v>interceptions: 1,</v>
      </c>
      <c r="H123" t="str">
        <f>"interceptions: "&amp;$Q$7&amp;","</f>
        <v>interceptions: 0,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0,</v>
      </c>
      <c r="M123" t="str">
        <f>"interceptions: "&amp;$Q$21&amp;","</f>
        <v>interceptions: 4,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5,</v>
      </c>
      <c r="Q123" t="str">
        <f>"interceptions: "&amp;$Q$10&amp;","</f>
        <v>interceptions: 0,</v>
      </c>
      <c r="R123" t="str">
        <f>"interceptions: "&amp;$Q$2&amp;","</f>
        <v>interceptions: 0,</v>
      </c>
      <c r="S123" t="str">
        <f>"interceptions: "&amp;$Q$19&amp;","</f>
        <v>interceptions: 1,</v>
      </c>
      <c r="T123" t="str">
        <f>"interceptions: "&amp;$Q$17&amp;","</f>
        <v>interceptions: 0,</v>
      </c>
      <c r="U123" t="str">
        <f>"interceptions: "&amp;$Q$18&amp;","</f>
        <v>interceptions: 0,</v>
      </c>
      <c r="V123" t="str">
        <f>"interceptions: "&amp;$Q$16&amp;","</f>
        <v>interceptions: 3,</v>
      </c>
      <c r="W123" t="str">
        <f>"interceptions: "&amp;$Q$6&amp;","</f>
        <v>interceptions: 1,</v>
      </c>
    </row>
    <row r="124" spans="1:23" x14ac:dyDescent="0.3">
      <c r="A124" t="str">
        <f>"fhRegains: "&amp;$R$4&amp;","</f>
        <v>fhRegains: 1,</v>
      </c>
      <c r="B124" t="str">
        <f>"fhRegains: "&amp;$R$15&amp;","</f>
        <v>fhRegains: 1,</v>
      </c>
      <c r="C124" t="str">
        <f>"fhRegains: "&amp;$R$9&amp;","</f>
        <v>fhRegains: 2,</v>
      </c>
      <c r="D124" t="str">
        <f>"fhRegains: "&amp;$R$24&amp;","</f>
        <v>fhRegains: 3,</v>
      </c>
      <c r="E124" t="str">
        <f>"fhRegains: "&amp;$R$12&amp;","</f>
        <v>fhRegains: 0,</v>
      </c>
      <c r="F124" t="str">
        <f>"fhRegains: "&amp;$R$22&amp;","</f>
        <v>fhRegains: 2,</v>
      </c>
      <c r="G124" t="str">
        <f>"fhRegains: "&amp;$R$3&amp;","</f>
        <v>fhRegains: 1,</v>
      </c>
      <c r="H124" t="str">
        <f>"fhRegains: "&amp;$R$7&amp;","</f>
        <v>fhRegains: 0,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0,</v>
      </c>
      <c r="M124" t="str">
        <f>"fhRegains: "&amp;$R$21&amp;","</f>
        <v>fhRegains: 2,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1,</v>
      </c>
      <c r="Q124" t="str">
        <f>"fhRegains: "&amp;$R$10&amp;","</f>
        <v>fhRegains: 0,</v>
      </c>
      <c r="R124" t="str">
        <f>"fhRegains: "&amp;$R$2&amp;","</f>
        <v>fhRegains: 0,</v>
      </c>
      <c r="S124" t="str">
        <f>"fhRegains: "&amp;$R$19&amp;","</f>
        <v>fhRegains: 0,</v>
      </c>
      <c r="T124" t="str">
        <f>"fhRegains: "&amp;$R$17&amp;","</f>
        <v>fhRegains: 1,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3,</v>
      </c>
      <c r="C125" t="str">
        <f>"blocks: "&amp;$S$9&amp;","</f>
        <v>blocks: 0,</v>
      </c>
      <c r="D125" t="str">
        <f>"blocks: "&amp;$S$24&amp;","</f>
        <v>blocks: 1,</v>
      </c>
      <c r="E125" t="str">
        <f>"blocks: "&amp;$S$12&amp;","</f>
        <v>blocks: 0,</v>
      </c>
      <c r="F125" t="str">
        <f>"blocks: "&amp;$S$22&amp;","</f>
        <v>blocks: 3,</v>
      </c>
      <c r="G125" t="str">
        <f>"blocks: "&amp;$S$3&amp;","</f>
        <v>blocks: 0,</v>
      </c>
      <c r="H125" t="str">
        <f>"blocks: "&amp;$S$7&amp;","</f>
        <v>blocks: 1,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1,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1,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1,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4,</v>
      </c>
      <c r="C126" t="str">
        <f>"clearances: "&amp;$T$9&amp;","</f>
        <v>clearances: 1,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3,</v>
      </c>
      <c r="G126" t="str">
        <f>"clearances: "&amp;$T$3&amp;","</f>
        <v>clearances: 0,</v>
      </c>
      <c r="H126" t="str">
        <f>"clearances: "&amp;$T$7&amp;","</f>
        <v>clearances: 0,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0,</v>
      </c>
      <c r="M126" t="str">
        <f>"clearances: "&amp;$T$21&amp;","</f>
        <v>clearances: 1,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2,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2,</v>
      </c>
      <c r="B127" t="str">
        <f>"separations: "&amp;$U$15&amp;","</f>
        <v>separations: 1,</v>
      </c>
      <c r="C127" t="str">
        <f>"separations: "&amp;$U$9&amp;","</f>
        <v>separations: 1,</v>
      </c>
      <c r="D127" t="str">
        <f>"separations: "&amp;$U$24&amp;","</f>
        <v>separations: 1,</v>
      </c>
      <c r="E127" t="str">
        <f>"separations: "&amp;$U$12&amp;","</f>
        <v>separations: 2,</v>
      </c>
      <c r="F127" t="str">
        <f>"separations: "&amp;$U$22&amp;","</f>
        <v>separations: 0,</v>
      </c>
      <c r="G127" t="str">
        <f>"separations: "&amp;$U$3&amp;","</f>
        <v>separations: 2,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0,</v>
      </c>
      <c r="M127" t="str">
        <f>"separations: "&amp;$U$21&amp;","</f>
        <v>separations: 1,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1,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1,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2,</v>
      </c>
      <c r="B128" t="str">
        <f>"headers: "&amp;$V$15&amp;","</f>
        <v>headers: 8,</v>
      </c>
      <c r="C128" t="str">
        <f>"headers: "&amp;$V$9&amp;","</f>
        <v>headers: 4,</v>
      </c>
      <c r="D128" t="str">
        <f>"headers: "&amp;$V$24&amp;","</f>
        <v>headers: 3,</v>
      </c>
      <c r="E128" t="str">
        <f>"headers: "&amp;$V$12&amp;","</f>
        <v>headers: 2,</v>
      </c>
      <c r="F128" t="str">
        <f>"headers: "&amp;$V$22&amp;","</f>
        <v>headers: 5,</v>
      </c>
      <c r="G128" t="str">
        <f>"headers: "&amp;$V$3&amp;","</f>
        <v>headers: 0,</v>
      </c>
      <c r="H128" t="str">
        <f>"headers: "&amp;$V$7&amp;","</f>
        <v>headers: 1,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0,</v>
      </c>
      <c r="M128" t="str">
        <f>"headers: "&amp;$V$21&amp;","</f>
        <v>headers: 7,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1,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2,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3,</v>
      </c>
      <c r="B129" t="str">
        <f>"stopFwdCA: "&amp;$W$15&amp;","</f>
        <v>stopFwdCA: 5,</v>
      </c>
      <c r="C129" t="str">
        <f>"stopFwdCA: "&amp;$W$9&amp;","</f>
        <v>stopFwdCA: 5,</v>
      </c>
      <c r="D129" t="str">
        <f>"stopFwdCA: "&amp;$W$24&amp;","</f>
        <v>stopFwdCA: 6,</v>
      </c>
      <c r="E129" t="str">
        <f>"stopFwdCA: "&amp;$W$12&amp;","</f>
        <v>stopFwdCA: 4,</v>
      </c>
      <c r="F129" t="str">
        <f>"stopFwdCA: "&amp;$W$22&amp;","</f>
        <v>stopFwdCA: 5,</v>
      </c>
      <c r="G129" t="str">
        <f>"stopFwdCA: "&amp;$W$3&amp;","</f>
        <v>stopFwdCA: 0,</v>
      </c>
      <c r="H129" t="str">
        <f>"stopFwdCA: "&amp;$W$7&amp;","</f>
        <v>stopFwdCA: 4,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1,</v>
      </c>
      <c r="M129" t="str">
        <f>"stopFwdCA: "&amp;$W$21&amp;","</f>
        <v>stopFwdCA: 10,</v>
      </c>
      <c r="N129" t="str">
        <f>"stopFwdCA: "&amp;$W$11&amp;","</f>
        <v>stopFwdCA: 0,</v>
      </c>
      <c r="O129" t="str">
        <f>"stopFwdCA: "&amp;$W$13&amp;","</f>
        <v>stopFwdCA: 0,</v>
      </c>
      <c r="P129" t="str">
        <f>"stopFwdCA: "&amp;$W$5&amp;","</f>
        <v>stopFwdCA: 8,</v>
      </c>
      <c r="Q129" t="str">
        <f>"stopFwdCA: "&amp;$W$10&amp;","</f>
        <v>stopFwdCA: 2,</v>
      </c>
      <c r="R129" t="str">
        <f>"stopFwdCA: "&amp;$W$2&amp;","</f>
        <v>stopFwdCA: 0,</v>
      </c>
      <c r="S129" t="str">
        <f>"stopFwdCA: "&amp;$W$19&amp;","</f>
        <v>stopFwdCA: 4,</v>
      </c>
      <c r="T129" t="str">
        <f>"stopFwdCA: "&amp;$W$17&amp;","</f>
        <v>stopFwdCA: 4,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2,</v>
      </c>
    </row>
    <row r="130" spans="1:23" x14ac:dyDescent="0.3">
      <c r="A130" t="str">
        <f>"totalDefActMin: "&amp;TEXT($Y$4,"0.00")&amp;","</f>
        <v>totalDefActMin: 0.19,</v>
      </c>
      <c r="B130" t="str">
        <f>"totalDefActMin: "&amp;TEXT($Y$15,"0.00")&amp;","</f>
        <v>totalDefActMin: 0.32,</v>
      </c>
      <c r="C130" t="str">
        <f>"totalDefActMin: "&amp;TEXT($Y$9,"0.00")&amp;","</f>
        <v>totalDefActMin: 0.22,</v>
      </c>
      <c r="D130" t="str">
        <f>"totalDefActMin: "&amp;TEXT($Y$24,"0.00")&amp;","</f>
        <v>totalDefActMin: 0.29,</v>
      </c>
      <c r="E130" t="str">
        <f>"totalDefActMin: "&amp;TEXT($Y$12,"0.00")&amp;","</f>
        <v>totalDefActMin: 0.29,</v>
      </c>
      <c r="F130" t="str">
        <f>"totalDefActMin: "&amp;TEXT($Y$22,"0.00")&amp;","</f>
        <v>totalDefActMin: 0.31,</v>
      </c>
      <c r="G130" t="str">
        <f>"totalDefActMin: "&amp;TEXT($Y$3,"0.00")&amp;","</f>
        <v>totalDefActMin: 0.57,</v>
      </c>
      <c r="H130" t="str">
        <f>"totalDefActMin: "&amp;TEXT($Y$7,"0.00")&amp;","</f>
        <v>totalDefActMin: 0.11,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0.07,</v>
      </c>
      <c r="M130" t="str">
        <f>"totalDefActMin: "&amp;TEXT($Y$21,"0.00")&amp;","</f>
        <v>totalDefActMin: 0.35,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0.28,</v>
      </c>
      <c r="Q130" t="str">
        <f>"totalDefActMin: "&amp;TEXT($Y$10,"0.00")&amp;","</f>
        <v>totalDefActMin: 0.05,</v>
      </c>
      <c r="R130" t="str">
        <f>"totalDefActMin: "&amp;TEXT($Y$2,"0.00")&amp;","</f>
        <v>totalDefActMin: 0.00,</v>
      </c>
      <c r="S130" t="str">
        <f>"totalDefActMin: "&amp;TEXT($Y$19,"0.00")&amp;","</f>
        <v>totalDefActMin: 0.09,</v>
      </c>
      <c r="T130" t="str">
        <f>"totalDefActMin: "&amp;TEXT($Y$17,"0.00")&amp;","</f>
        <v>totalDefActMin: 0.13,</v>
      </c>
      <c r="U130" t="str">
        <f>"totalDefActMin: "&amp;TEXT($Y$18,"0.00")&amp;","</f>
        <v>totalDefActMin: 0.00,</v>
      </c>
      <c r="V130" t="str">
        <f>"totalDefActMin: "&amp;TEXT($Y$16,"0.00")&amp;","</f>
        <v>totalDefActMin: 0.23,</v>
      </c>
      <c r="W130" t="str">
        <f>"totalDefActMin: "&amp;TEXT($Y$6,"0.00")&amp;","</f>
        <v>totalDefActMin: 0.43,</v>
      </c>
    </row>
    <row r="131" spans="1:23" x14ac:dyDescent="0.3">
      <c r="A131" t="str">
        <f>"totalActions: "&amp;$Z$4&amp;","</f>
        <v>totalActions: 28,</v>
      </c>
      <c r="B131" t="str">
        <f t="shared" ref="B131" si="4">"totalActions: "&amp;$Z$4&amp;","</f>
        <v>totalActions: 28,</v>
      </c>
      <c r="C131" t="str">
        <f>"totalActions: "&amp;$Z$9&amp;","</f>
        <v>totalActions: 41,</v>
      </c>
      <c r="D131" t="str">
        <f>"totalActions: "&amp;$Z$24&amp;","</f>
        <v>totalActions: 29,</v>
      </c>
      <c r="E131" t="str">
        <f>"totalActions: "&amp;$Z$12&amp;","</f>
        <v>totalActions: 15,</v>
      </c>
      <c r="F131" t="str">
        <f>"totalActions: "&amp;$Z$22&amp;","</f>
        <v>totalActions: 34,</v>
      </c>
      <c r="G131" t="str">
        <f>"totalActions: "&amp;$Z$3&amp;","</f>
        <v>totalActions: 5,</v>
      </c>
      <c r="H131" t="str">
        <f>"totalActions: "&amp;$Z$7&amp;","</f>
        <v>totalActions: 9,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4,</v>
      </c>
      <c r="M131" t="str">
        <f>"totalActions: "&amp;$Z$21&amp;","</f>
        <v>totalActions: 33,</v>
      </c>
      <c r="N131" t="str">
        <f>"totalActions: "&amp;$Z$11&amp;","</f>
        <v>totalActions: 0,</v>
      </c>
      <c r="O131" t="str">
        <f>"totalActions: "&amp;$Z$13&amp;","</f>
        <v>totalActions: 0,</v>
      </c>
      <c r="P131" t="str">
        <f>"totalActions: "&amp;$Z$5&amp;","</f>
        <v>totalActions: 28,</v>
      </c>
      <c r="Q131" t="str">
        <f>"totalActions: "&amp;$Z$10&amp;","</f>
        <v>totalActions: 3,</v>
      </c>
      <c r="R131" t="str">
        <f>"totalActions: "&amp;$Z$2&amp;","</f>
        <v>totalActions: 0,</v>
      </c>
      <c r="S131" t="str">
        <f>"totalActions: "&amp;$Z$19&amp;","</f>
        <v>totalActions: 11,</v>
      </c>
      <c r="T131" t="str">
        <f>"totalActions: "&amp;$Z$17&amp;","</f>
        <v>totalActions: 15,</v>
      </c>
      <c r="U131" t="str">
        <f>"totalActions: "&amp;$Z$18&amp;","</f>
        <v>totalActions: 0,</v>
      </c>
      <c r="V131" t="str">
        <f>"totalActions: "&amp;$Z$16&amp;","</f>
        <v>totalActions: 12,</v>
      </c>
      <c r="W131" t="str">
        <f>"totalActions: "&amp;$Z$6&amp;","</f>
        <v>totalActions: 3,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class="stat-value-2"&gt;20&lt;/span&gt;&lt;/p&gt;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class="stat-value-2"&gt;6&lt;/span&gt;&lt;/p&gt;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class="stat-value-2"&gt;21&lt;/span&gt;&lt;/p&gt;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class="stat-value-2"&gt;7&lt;/span&gt;&lt;/p&gt;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class="stat-value-2"&gt;3&lt;/span&gt;&lt;/p&gt;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class="stat-value-2"&gt;6&lt;/span&gt;&lt;/p&gt;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class="stat-value-2"&gt;1&lt;/span&gt;&lt;/p&gt;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class="stat-value-2"&gt;2&lt;/span&gt;&lt;/p&gt;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class="stat-value-2"&gt;2&lt;/span&gt;&lt;/p&gt;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class="stat-value-2"&gt;4&lt;/span&gt;&lt;/p&gt;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class="stat-value-2"&gt;0&lt;/span&gt;&lt;/p&gt;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class="stat-value-2"&gt;9&lt;/span&gt;&lt;/p&gt;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class="stat-value-2"&gt;0&lt;/span&gt;&lt;/p&gt;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class="stat-value-2"&gt;6&lt;/span&gt;&lt;/p&gt;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class="stat-value-2"&gt;6&lt;/span&gt;&lt;/p&gt;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class="stat-value-2"&gt;5&lt;/span&gt;&lt;/p&gt;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class="stat-value-2"&gt;0.47&lt;/span&gt;&lt;/p&gt;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class="stat-value-2"&gt;0.07&lt;/span&gt;&lt;/p&gt;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class="stat-value-2"&gt;0.23&lt;/span&gt;&lt;/p&gt;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class="stat-value-2"&gt;0.09&lt;/span&gt;&lt;/p&gt;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class="stat-value-2"&gt;0.07&lt;/span&gt;&lt;/p&gt;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class="stat-value-2"&gt;0.07&lt;/span&gt;&lt;/p&gt;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class="stat-value-2"&gt;0.14&lt;/span&gt;&lt;/p&gt;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class="stat-value-2"&gt;0.03&lt;/span&gt;&lt;/p&gt;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class="stat-value-2"&gt;0.07&lt;/span&gt;&lt;/p&gt;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class="stat-value-2"&gt;0.05&lt;/span&gt;&lt;/p&gt;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class="stat-value-2"&gt;0.13&lt;/span&gt;&lt;/p&gt;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class="stat-value-2"&gt;0.11&lt;/span&gt;&lt;/p&gt;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class="stat-value-2"&gt;0.09&lt;/span&gt;&lt;/p&gt;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class="stat-value-2"&gt;0.16&lt;/span&gt;&lt;/p&gt;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class="stat-value-2"&gt;1&lt;/span&gt;&lt;/p&gt;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class="stat-value-2"&gt;1&lt;/span&gt;&lt;/p&gt;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class="stat-value-2"&gt;1&lt;/span&gt;&lt;/p&gt;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class="stat-value-2"&gt;1&lt;/span&gt;&lt;/p&gt;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class="stat-value-2"&gt;4&lt;/span&gt;&lt;/p&gt;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class="stat-value-2"&gt;2&lt;/span&gt;&lt;/p&gt;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class="stat-value-2"&gt;8&lt;/span&gt;&lt;/p&gt;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class="stat-value-2"&gt;3&lt;/span&gt;&lt;/p&gt;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class="stat-value-2"&gt;3&lt;/span&gt;&lt;/p&gt;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class="stat-value-2"&gt;2&lt;/span&gt;&lt;/p&gt;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class="stat-value-2"&gt;1&lt;/span&gt;&lt;/p&gt;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class="stat-value-2"&gt;0&lt;/span&gt;&lt;/p&gt;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class="stat-value-2"&gt;3&lt;/span&gt;&lt;/p&gt;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class="stat-value-2"&gt;4&lt;/span&gt;&lt;/p&gt;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class="stat-value-2"&gt;0&lt;/span&gt;&lt;/p&gt;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class="stat-value-2"&gt;1&lt;/span&gt;&lt;/p&gt;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class="stat-value-2"&gt;1&lt;/span&gt;&lt;/p&gt;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class="stat-value-2"&gt;0&lt;/span&gt;&lt;/p&gt;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class="stat-value-2"&gt;2&lt;/span&gt;&lt;/p&gt;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class="stat-value-2"&gt;1&lt;/span&gt;&lt;/p&gt;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class="stat-value-2"&gt;1&lt;/span&gt;&lt;/p&gt;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class="stat-value-2"&gt;2&lt;/span&gt;&lt;/p&gt;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class="stat-value-2"&gt;2&lt;/span&gt;&lt;/p&gt;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class="stat-value-2"&gt;0&lt;/span&gt;&lt;/p&gt;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class="stat-value-2"&gt;1&lt;/span&gt;&lt;/p&gt;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class="stat-value-2"&gt;1&lt;/span&gt;&lt;/p&gt;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class="stat-value-2"&gt;3&lt;/span&gt;&lt;/p&gt;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class="stat-value-2"&gt;1&lt;/span&gt;&lt;/p&gt;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class="stat-value-2"&gt;0&lt;/span&gt;&lt;/p&gt;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class="stat-value-2"&gt;0&lt;/span&gt;&lt;/p&gt;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class="stat-value-2"&gt;0&lt;/span&gt;&lt;/p&gt;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class="stat-value-2"&gt;0&lt;/span&gt;&lt;/p&gt;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class="stat-value-2"&gt;2&lt;/span&gt;&lt;/p&gt;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class="stat-value-2"&gt;0&lt;/span&gt;&lt;/p&gt;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class="stat-value-2"&gt;0&lt;/span&gt;&lt;/p&gt;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class="stat-value-2"&gt;6&lt;/span&gt;&lt;/p&gt;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class="stat-value-2"&gt;1&lt;/span&gt;&lt;/p&gt;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class="stat-value-2"&gt;1&lt;/span&gt;&lt;/p&gt;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class="stat-value-2"&gt;0&lt;/span&gt;&lt;/p&gt;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class="stat-value-2"&gt;0&lt;/span&gt;&lt;/p&gt;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class="stat-value-2"&gt;2&lt;/span&gt;&lt;/p&gt;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class="stat-value-2"&gt;0&lt;/span&gt;&lt;/p&gt;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class="stat-value-2"&gt;1&lt;/span&gt;&lt;/p&gt;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class="stat-value-2"&gt;2&lt;/span&gt;&lt;/p&gt;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class="stat-value-2"&gt;3&lt;/span&gt;&lt;/p&gt;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class="stat-value-2"&gt;4&lt;/span&gt;&lt;/p&gt;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class="stat-value-2"&gt;1&lt;/span&gt;&lt;/p&gt;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class="stat-value-2"&gt;5&lt;/span&gt;&lt;/p&gt;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class="stat-value-2"&gt;1&lt;/span&gt;&lt;/p&gt;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class="stat-value-2"&gt;0&lt;/span&gt;&lt;/p&gt;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class="stat-value-2"&gt;1&lt;/span&gt;&lt;/p&gt;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class="stat-value-2"&gt;1&lt;/span&gt;&lt;/p&gt;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class="stat-value-2"&gt;1&lt;/span&gt;&lt;/p&gt;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class="stat-value-2"&gt;2&lt;/span&gt;&lt;/p&gt;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class="stat-value-2"&gt;1&lt;/span&gt;&lt;/p&gt;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class="stat-value-2"&gt;2&lt;/span&gt;&lt;/p&gt;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class="stat-value-2"&gt;1&lt;/span&gt;&lt;/p&gt;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class="stat-value-2"&gt;2&lt;/span&gt;&lt;/p&gt;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class="stat-value-2"&gt;1&lt;/span&gt;&lt;/p&gt;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class="stat-value-2"&gt;1&lt;/span&gt;&lt;/p&gt;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class="stat-value-2"&gt;0&lt;/span&gt;&lt;/p&gt;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class="stat-value-2"&gt;1&lt;/span&gt;&lt;/p&gt;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class="stat-value-2"&gt;2&lt;/span&gt;&lt;/p&gt;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class="stat-value-2"&gt;1&lt;/span&gt;&lt;/p&gt;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class="stat-value-2"&gt;2&lt;/span&gt;&lt;/p&gt;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class="stat-value-2"&gt;1&lt;/span&gt;&lt;/p&gt;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class="stat-value-2"&gt;1&lt;/span&gt;&lt;/p&gt;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class="stat-value-2"&gt;0&lt;/span&gt;&lt;/p&gt;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class="stat-value-2"&gt;0&lt;/span&gt;&lt;/p&gt;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class="stat-value-2"&gt;1&lt;/span&gt;&lt;/p&gt;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class="stat-value-2"&gt;8&lt;/span&gt;&lt;/p&gt;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class="stat-value-2"&gt;29&lt;/span&gt;&lt;/p&gt;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class="stat-value-2"&gt;20&lt;/span&gt;&lt;/p&gt;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class="stat-value-2"&gt;22&lt;/span&gt;&lt;/p&gt;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class="stat-value-2"&gt;12&lt;/span&gt;&lt;/p&gt;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class="stat-value-2"&gt;28&lt;/span&gt;&lt;/p&gt;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class="stat-value-2"&gt;4&lt;/span&gt;&lt;/p&gt;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class="stat-value-2"&gt;7&lt;/span&gt;&lt;/p&gt;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class="stat-value-2"&gt;2&lt;/span&gt;&lt;/p&gt;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class="stat-value-2"&gt;29&lt;/span&gt;&lt;/p&gt;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class="stat-value-2"&gt;0&lt;/span&gt;&lt;/p&gt;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class="stat-value-2"&gt;19&lt;/span&gt;&lt;/p&gt;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class="stat-value-2"&gt;3&lt;/span&gt;&lt;/p&gt;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class="stat-value-2"&gt;5&lt;/span&gt;&lt;/p&gt;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class="stat-value-2"&gt;9&lt;/span&gt;&lt;/p&gt;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class="stat-value-2"&gt;7&lt;/span&gt;&lt;/p&gt;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class="stat-value-2"&gt;3&lt;/span&gt;&lt;/p&gt;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class="stat-value-2"&gt;0.19&lt;/span&gt;&lt;/p&gt;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class="stat-value-2"&gt;0.32&lt;/span&gt;&lt;/p&gt;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class="stat-value-2"&gt;0.22&lt;/span&gt;&lt;/p&gt;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class="stat-value-2"&gt;0.29&lt;/span&gt;&lt;/p&gt;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class="stat-value-2"&gt;0.29&lt;/span&gt;&lt;/p&gt;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class="stat-value-2"&gt;0.31&lt;/span&gt;&lt;/p&gt;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class="stat-value-2"&gt;0.57&lt;/span&gt;&lt;/p&gt;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class="stat-value-2"&gt;0.11&lt;/span&gt;&lt;/p&gt;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class="stat-value-2"&gt;0.07&lt;/span&gt;&lt;/p&gt;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class="stat-value-2"&gt;0.35&lt;/span&gt;&lt;/p&gt;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class="stat-value-2"&gt;0.28&lt;/span&gt;&lt;/p&gt;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class="stat-value-2"&gt;0.05&lt;/span&gt;&lt;/p&gt;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class="stat-value-2"&gt;0.09&lt;/span&gt;&lt;/p&gt;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class="stat-value-2"&gt;0.13&lt;/span&gt;&lt;/p&gt;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class="stat-value-2"&gt;0.23&lt;/span&gt;&lt;/p&gt;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class="stat-value-2"&gt;0.43&lt;/span&gt;&lt;/p&gt;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class="stat-value-2"&gt;2&lt;/span&gt;&lt;/p&gt;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class="stat-value-2"&gt;1&lt;/span&gt;&lt;/p&gt;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class="stat-value-2"&gt;3&lt;/span&gt;&lt;/p&gt;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class="stat-value-2"&gt;0&lt;/span&gt;&lt;/p&gt;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class="stat-value-2"&gt;5&lt;/span&gt;&lt;/p&gt;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class="stat-value-2"&gt;1&lt;/span&gt;&lt;/p&gt;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class="stat-value-2"&gt;4&lt;/span&gt;&lt;/p&gt;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class="stat-value-2"&gt;1&lt;/span&gt;&lt;/p&gt;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class="stat-value-2"&gt;0&lt;/span&gt;&lt;/p&gt;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class="stat-value-2"&gt;0&lt;/span&gt;&lt;/p&gt;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class="stat-value-2"&gt;3&lt;/span&gt;&lt;/p&gt;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class="stat-value-2"&gt;0&lt;/span&gt;&lt;/p&gt;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class="stat-value-2"&gt;5&lt;/span&gt;&lt;/p&gt;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class="stat-value-2"&gt;6&lt;/span&gt;&lt;/p&gt;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class="stat-value-2"&gt;5&lt;/span&gt;&lt;/p&gt;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class="stat-value-2"&gt;4&lt;/span&gt;&lt;/p&gt;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class="stat-value-2"&gt;5&lt;/span&gt;&lt;/p&gt;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class="stat-value-2"&gt;1&lt;/span&gt;&lt;/p&gt;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class="stat-value-2"&gt;0&lt;/span&gt;&lt;/p&gt;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class="stat-value-2"&gt;0&lt;/span&gt;&lt;/p&gt;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class="stat-value-2"&gt;4&lt;/span&gt;&lt;/p&gt;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class="stat-value-2"&gt;5&lt;/span&gt;&lt;/p&gt;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class="stat-value-2"&gt;0&lt;/span&gt;&lt;/p&gt;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class="stat-value-2"&gt;0&lt;/span&gt;&lt;/p&gt;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class="stat-value-2"&gt;3&lt;/span&gt;&lt;/p&gt;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class="stat-value-2"&gt;1&lt;/span&gt;&lt;/p&gt;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class="stat-value-2"&gt;1&lt;/span&gt;&lt;/p&gt;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class="stat-value-2"&gt;1&lt;/span&gt;&lt;/p&gt;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class="stat-value-2"&gt;2&lt;/span&gt;&lt;/p&gt;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class="stat-value-2"&gt;3&lt;/span&gt;&lt;/p&gt;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class="stat-value-2"&gt;2&lt;/span&gt;&lt;/p&gt;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class="stat-value-2"&gt;1&lt;/span&gt;&lt;/p&gt;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class="stat-value-2"&gt;0&lt;/span&gt;&lt;/p&gt;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class="stat-value-2"&gt;0&lt;/span&gt;&lt;/p&gt;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class="stat-value-2"&gt;2&lt;/span&gt;&lt;/p&gt;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class="stat-value-2"&gt;1&lt;/span&gt;&lt;/p&gt;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class="stat-value-2"&gt;0&lt;/span&gt;&lt;/p&gt;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class="stat-value-2"&gt;1&lt;/span&gt;&lt;/p&gt;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class="stat-value-2"&gt;3&lt;/span&gt;&lt;/p&gt;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class="stat-value-2"&gt;1&lt;/span&gt;&lt;/p&gt;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class="stat-value-2"&gt;3&lt;/span&gt;&lt;/p&gt;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class="stat-value-2"&gt;1&lt;/span&gt;&lt;/p&gt;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class="stat-value-2"&gt;1&lt;/span&gt;&lt;/p&gt;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class="stat-value-2"&gt;1&lt;/span&gt;&lt;/p&gt;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class="stat-value-2"&gt;1&lt;/span&gt;&lt;/p&gt;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class="stat-value-2"&gt;4&lt;/span&gt;&lt;/p&gt;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class="stat-value-2"&gt;1&lt;/span&gt;&lt;/p&gt;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class="stat-value-2"&gt;3&lt;/span&gt;&lt;/p&gt;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class="stat-value-2"&gt;0&lt;/span&gt;&lt;/p&gt;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class="stat-value-2"&gt;0&lt;/span&gt;&lt;/p&gt;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class="stat-value-2"&gt;1&lt;/span&gt;&lt;/p&gt;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class="stat-value-2"&gt;2&lt;/span&gt;&lt;/p&gt;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class="stat-value-2"&gt;2&lt;/span&gt;&lt;/p&gt;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class="stat-value-2"&gt;1&lt;/span&gt;&lt;/p&gt;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class="stat-value-2"&gt;1&lt;/span&gt;&lt;/p&gt;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class="stat-value-2"&gt;1&lt;/span&gt;&lt;/p&gt;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class="stat-value-2"&gt;2&lt;/span&gt;&lt;/p&gt;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class="stat-value-2"&gt;2&lt;/span&gt;&lt;/p&gt;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class="stat-value-2"&gt;0&lt;/span&gt;&lt;/p&gt;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class="stat-value-2"&gt;1&lt;/span&gt;&lt;/p&gt;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class="stat-value-2"&gt;1&lt;/span&gt;&lt;/p&gt;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class="stat-value-2"&gt;1&lt;/span&gt;&lt;/p&gt;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class="stat-value-2"&gt;2&lt;/span&gt;&lt;/p&gt;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class="stat-value-2"&gt;8&lt;/span&gt;&lt;/p&gt;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class="stat-value-2"&gt;4&lt;/span&gt;&lt;/p&gt;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class="stat-value-2"&gt;3&lt;/span&gt;&lt;/p&gt;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class="stat-value-2"&gt;2&lt;/span&gt;&lt;/p&gt;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class="stat-value-2"&gt;5&lt;/span&gt;&lt;/p&gt;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class="stat-value-2"&gt;1&lt;/span&gt;&lt;/p&gt;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class="stat-value-2"&gt;0&lt;/span&gt;&lt;/p&gt;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class="stat-value-2"&gt;7&lt;/span&gt;&lt;/p&gt;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class="stat-value-2"&gt;1&lt;/span&gt;&lt;/p&gt;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class="stat-value-2"&gt;2&lt;/span&gt;&lt;/p&gt;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class="stat-value-2"&gt;3&lt;/span&gt;&lt;/p&gt;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class="stat-value-2"&gt;5&lt;/span&gt;&lt;/p&gt;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class="stat-value-2"&gt;5&lt;/span&gt;&lt;/p&gt;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class="stat-value-2"&gt;6&lt;/span&gt;&lt;/p&gt;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class="stat-value-2"&gt;4&lt;/span&gt;&lt;/p&gt;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class="stat-value-2"&gt;5&lt;/span&gt;&lt;/p&gt;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class="stat-value-2"&gt;4&lt;/span&gt;&lt;/p&gt;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class="stat-value-2"&gt;1&lt;/span&gt;&lt;/p&gt;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class="stat-value-2"&gt;10&lt;/span&gt;&lt;/p&gt;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class="stat-value-2"&gt;0&lt;/span&gt;&lt;/p&gt;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class="stat-value-2"&gt;8&lt;/span&gt;&lt;/p&gt;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class="stat-value-2"&gt;2&lt;/span&gt;&lt;/p&gt;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class="stat-value-2"&gt;4&lt;/span&gt;&lt;/p&gt;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class="stat-value-2"&gt;4&lt;/span&gt;&lt;/p&gt;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class="stat-value-2"&gt;2&lt;/span&gt;&lt;/p&gt;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426D-5513-4B74-A943-1043C64620B4}">
  <dimension ref="A1:AT157"/>
  <sheetViews>
    <sheetView topLeftCell="A91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 s="1">
        <f t="shared" ref="Y3:Y24" si="1">IFERROR(X3/B3,0)</f>
        <v>0.14285714285714285</v>
      </c>
      <c r="Z3">
        <v>1</v>
      </c>
      <c r="AA3" s="1">
        <f t="shared" ref="AA3:AA24" si="2">IFERROR(Z3/B3,0)</f>
        <v>0.14285714285714285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1&lt;/td&gt;&lt;td&gt;0.14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7&lt;/td&gt;&lt;td&gt;1&lt;/td&gt;&lt;td&gt;0&lt;/td&gt;&lt;td&gt;0&lt;/td&gt;&lt;td&gt;0&lt;/td&gt;&lt;td&gt;0&lt;/td&gt;&lt;td&gt;0&lt;/td&gt;&lt;td&gt;0&lt;/td&gt;&lt;td&gt;0&lt;/td&gt;&lt;td&gt;1&lt;/td&gt;&lt;td&gt;0.14&lt;/td&gt;&lt;td&gt;1&lt;/td&gt;&lt;td&gt;0.14&lt;/td&gt;&lt;/tr&gt;</v>
      </c>
    </row>
    <row r="4" spans="1:46" x14ac:dyDescent="0.3">
      <c r="A4" t="s">
        <v>27</v>
      </c>
      <c r="B4">
        <v>69</v>
      </c>
      <c r="C4">
        <v>1</v>
      </c>
      <c r="D4">
        <v>0</v>
      </c>
      <c r="E4">
        <v>0</v>
      </c>
      <c r="F4">
        <v>5</v>
      </c>
      <c r="G4">
        <v>1</v>
      </c>
      <c r="H4">
        <v>0</v>
      </c>
      <c r="I4">
        <v>2</v>
      </c>
      <c r="J4">
        <v>1</v>
      </c>
      <c r="K4">
        <v>1</v>
      </c>
      <c r="L4">
        <v>1</v>
      </c>
      <c r="M4">
        <v>1</v>
      </c>
      <c r="N4">
        <v>12</v>
      </c>
      <c r="O4" s="1">
        <f t="shared" si="0"/>
        <v>0.17391304347826086</v>
      </c>
      <c r="P4">
        <v>1</v>
      </c>
      <c r="Q4">
        <v>3</v>
      </c>
      <c r="R4">
        <v>0</v>
      </c>
      <c r="S4">
        <v>0</v>
      </c>
      <c r="T4">
        <v>0</v>
      </c>
      <c r="U4">
        <v>1</v>
      </c>
      <c r="V4">
        <v>0</v>
      </c>
      <c r="W4">
        <v>2</v>
      </c>
      <c r="X4">
        <v>7</v>
      </c>
      <c r="Y4" s="1">
        <f t="shared" si="1"/>
        <v>0.10144927536231885</v>
      </c>
      <c r="Z4">
        <v>19</v>
      </c>
      <c r="AA4" s="1">
        <f t="shared" si="2"/>
        <v>0.27536231884057971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69&lt;/td&gt;&lt;td&gt;1&lt;/td&gt;&lt;td&gt;0&lt;/td&gt;&lt;td&gt;0&lt;/td&gt;&lt;td&gt;5&lt;/td&gt;&lt;td&gt;1&lt;/td&gt;&lt;td&gt;0&lt;/td&gt;&lt;td&gt;2&lt;/td&gt;&lt;td&gt;1&lt;/td&gt;&lt;td&gt;1&lt;/td&gt;&lt;td&gt;1&lt;/td&gt;&lt;td&gt;1&lt;/td&gt;&lt;td&gt;12&lt;/td&gt;&lt;td&gt;0.17&lt;/td&gt;&lt;td&gt;19&lt;/td&gt;&lt;td&gt;0.28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69&lt;/td&gt;&lt;td&gt;1&lt;/td&gt;&lt;td&gt;3&lt;/td&gt;&lt;td&gt;0&lt;/td&gt;&lt;td&gt;0&lt;/td&gt;&lt;td&gt;0&lt;/td&gt;&lt;td&gt;1&lt;/td&gt;&lt;td&gt;0&lt;/td&gt;&lt;td&gt;2&lt;/td&gt;&lt;td&gt;7&lt;/td&gt;&lt;td&gt;0.10&lt;/td&gt;&lt;td&gt;19&lt;/td&gt;&lt;td&gt;0.28&lt;/td&gt;&lt;/tr&gt;</v>
      </c>
    </row>
    <row r="5" spans="1:46" x14ac:dyDescent="0.3">
      <c r="A5" t="s">
        <v>28</v>
      </c>
      <c r="B5">
        <v>65</v>
      </c>
      <c r="C5">
        <v>0</v>
      </c>
      <c r="D5">
        <v>0</v>
      </c>
      <c r="E5">
        <v>0</v>
      </c>
      <c r="F5">
        <v>5</v>
      </c>
      <c r="G5">
        <v>0</v>
      </c>
      <c r="H5">
        <v>4</v>
      </c>
      <c r="I5">
        <v>3</v>
      </c>
      <c r="J5">
        <v>2</v>
      </c>
      <c r="K5">
        <v>2</v>
      </c>
      <c r="L5">
        <v>0</v>
      </c>
      <c r="M5">
        <v>0</v>
      </c>
      <c r="N5">
        <v>16</v>
      </c>
      <c r="O5" s="1">
        <f t="shared" si="0"/>
        <v>0.24615384615384617</v>
      </c>
      <c r="P5">
        <v>1</v>
      </c>
      <c r="Q5">
        <v>2</v>
      </c>
      <c r="R5">
        <v>2</v>
      </c>
      <c r="S5">
        <v>0</v>
      </c>
      <c r="T5">
        <v>3</v>
      </c>
      <c r="U5">
        <v>2</v>
      </c>
      <c r="V5">
        <v>1</v>
      </c>
      <c r="W5">
        <v>4</v>
      </c>
      <c r="X5">
        <v>15</v>
      </c>
      <c r="Y5" s="1">
        <f t="shared" si="1"/>
        <v>0.23076923076923078</v>
      </c>
      <c r="Z5">
        <v>31</v>
      </c>
      <c r="AA5" s="1">
        <f t="shared" si="2"/>
        <v>0.47692307692307695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65&lt;/td&gt;&lt;td&gt;0&lt;/td&gt;&lt;td&gt;0&lt;/td&gt;&lt;td&gt;0&lt;/td&gt;&lt;td&gt;5&lt;/td&gt;&lt;td&gt;0&lt;/td&gt;&lt;td&gt;4&lt;/td&gt;&lt;td&gt;3&lt;/td&gt;&lt;td&gt;2&lt;/td&gt;&lt;td&gt;2&lt;/td&gt;&lt;td&gt;0&lt;/td&gt;&lt;td&gt;0&lt;/td&gt;&lt;td&gt;16&lt;/td&gt;&lt;td&gt;0.25&lt;/td&gt;&lt;td&gt;31&lt;/td&gt;&lt;td&gt;0.48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65&lt;/td&gt;&lt;td&gt;1&lt;/td&gt;&lt;td&gt;2&lt;/td&gt;&lt;td&gt;2&lt;/td&gt;&lt;td&gt;0&lt;/td&gt;&lt;td&gt;3&lt;/td&gt;&lt;td&gt;2&lt;/td&gt;&lt;td&gt;1&lt;/td&gt;&lt;td&gt;4&lt;/td&gt;&lt;td&gt;15&lt;/td&gt;&lt;td&gt;0.23&lt;/td&gt;&lt;td&gt;31&lt;/td&gt;&lt;td&gt;0.48&lt;/td&gt;&lt;/tr&gt;</v>
      </c>
    </row>
    <row r="6" spans="1:46" x14ac:dyDescent="0.3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" spans="1:46" x14ac:dyDescent="0.3">
      <c r="A7" t="s">
        <v>30</v>
      </c>
      <c r="B7">
        <v>82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5</v>
      </c>
      <c r="O7" s="1">
        <f t="shared" si="0"/>
        <v>6.097560975609756E-2</v>
      </c>
      <c r="P7">
        <v>2</v>
      </c>
      <c r="Q7">
        <v>3</v>
      </c>
      <c r="R7">
        <v>0</v>
      </c>
      <c r="S7">
        <v>1</v>
      </c>
      <c r="T7">
        <v>3</v>
      </c>
      <c r="U7">
        <v>0</v>
      </c>
      <c r="V7">
        <v>5</v>
      </c>
      <c r="W7">
        <v>4</v>
      </c>
      <c r="X7">
        <v>18</v>
      </c>
      <c r="Y7" s="1">
        <f t="shared" si="1"/>
        <v>0.21951219512195122</v>
      </c>
      <c r="Z7">
        <v>23</v>
      </c>
      <c r="AA7" s="1">
        <f t="shared" si="2"/>
        <v>0.28048780487804881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82&lt;/td&gt;&lt;td&gt;0&lt;/td&gt;&lt;td&gt;0&lt;/td&gt;&lt;td&gt;0&lt;/td&gt;&lt;td&gt;4&lt;/td&gt;&lt;td&gt;0&lt;/td&gt;&lt;td&gt;0&lt;/td&gt;&lt;td&gt;0&lt;/td&gt;&lt;td&gt;0&lt;/td&gt;&lt;td&gt;0&lt;/td&gt;&lt;td&gt;0&lt;/td&gt;&lt;td&gt;1&lt;/td&gt;&lt;td&gt;5&lt;/td&gt;&lt;td&gt;0.06&lt;/td&gt;&lt;td&gt;23&lt;/td&gt;&lt;td&gt;0.28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82&lt;/td&gt;&lt;td&gt;2&lt;/td&gt;&lt;td&gt;3&lt;/td&gt;&lt;td&gt;0&lt;/td&gt;&lt;td&gt;1&lt;/td&gt;&lt;td&gt;3&lt;/td&gt;&lt;td&gt;0&lt;/td&gt;&lt;td&gt;5&lt;/td&gt;&lt;td&gt;4&lt;/td&gt;&lt;td&gt;18&lt;/td&gt;&lt;td&gt;0.22&lt;/td&gt;&lt;td&gt;23&lt;/td&gt;&lt;td&gt;0.28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82</v>
      </c>
      <c r="C9">
        <v>1</v>
      </c>
      <c r="D9">
        <v>0</v>
      </c>
      <c r="E9">
        <v>0</v>
      </c>
      <c r="F9">
        <v>5</v>
      </c>
      <c r="G9">
        <v>0</v>
      </c>
      <c r="H9">
        <v>0</v>
      </c>
      <c r="I9">
        <v>1</v>
      </c>
      <c r="J9">
        <v>1</v>
      </c>
      <c r="K9">
        <v>2</v>
      </c>
      <c r="L9">
        <v>1</v>
      </c>
      <c r="M9">
        <v>1</v>
      </c>
      <c r="N9">
        <v>12</v>
      </c>
      <c r="O9" s="1">
        <f t="shared" si="0"/>
        <v>0.14634146341463414</v>
      </c>
      <c r="P9">
        <v>2</v>
      </c>
      <c r="Q9">
        <v>6</v>
      </c>
      <c r="R9">
        <v>1</v>
      </c>
      <c r="S9">
        <v>0</v>
      </c>
      <c r="T9">
        <v>1</v>
      </c>
      <c r="U9">
        <v>3</v>
      </c>
      <c r="V9">
        <v>4</v>
      </c>
      <c r="W9">
        <v>4</v>
      </c>
      <c r="X9">
        <v>21</v>
      </c>
      <c r="Y9" s="1">
        <f t="shared" si="1"/>
        <v>0.25609756097560976</v>
      </c>
      <c r="Z9">
        <v>33</v>
      </c>
      <c r="AA9" s="1">
        <f t="shared" si="2"/>
        <v>0.40243902439024393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82&lt;/td&gt;&lt;td&gt;1&lt;/td&gt;&lt;td&gt;0&lt;/td&gt;&lt;td&gt;0&lt;/td&gt;&lt;td&gt;5&lt;/td&gt;&lt;td&gt;0&lt;/td&gt;&lt;td&gt;0&lt;/td&gt;&lt;td&gt;1&lt;/td&gt;&lt;td&gt;1&lt;/td&gt;&lt;td&gt;2&lt;/td&gt;&lt;td&gt;1&lt;/td&gt;&lt;td&gt;1&lt;/td&gt;&lt;td&gt;12&lt;/td&gt;&lt;td&gt;0.15&lt;/td&gt;&lt;td&gt;33&lt;/td&gt;&lt;td&gt;0.40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82&lt;/td&gt;&lt;td&gt;2&lt;/td&gt;&lt;td&gt;6&lt;/td&gt;&lt;td&gt;1&lt;/td&gt;&lt;td&gt;0&lt;/td&gt;&lt;td&gt;1&lt;/td&gt;&lt;td&gt;3&lt;/td&gt;&lt;td&gt;4&lt;/td&gt;&lt;td&gt;4&lt;/td&gt;&lt;td&gt;21&lt;/td&gt;&lt;td&gt;0.26&lt;/td&gt;&lt;td&gt;33&lt;/td&gt;&lt;td&gt;0.40&lt;/td&gt;&lt;/tr&gt;</v>
      </c>
    </row>
    <row r="10" spans="1:46" x14ac:dyDescent="0.3">
      <c r="A10" t="s">
        <v>33</v>
      </c>
      <c r="B10">
        <v>25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3</v>
      </c>
      <c r="O10" s="1">
        <f t="shared" si="0"/>
        <v>0.12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2</v>
      </c>
      <c r="X10">
        <v>4</v>
      </c>
      <c r="Y10" s="1">
        <f t="shared" si="1"/>
        <v>0.16</v>
      </c>
      <c r="Z10">
        <v>7</v>
      </c>
      <c r="AA10" s="1">
        <f t="shared" si="2"/>
        <v>0.28000000000000003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25&lt;/td&gt;&lt;td&gt;0&lt;/td&gt;&lt;td&gt;0&lt;/td&gt;&lt;td&gt;0&lt;/td&gt;&lt;td&gt;1&lt;/td&gt;&lt;td&gt;1&lt;/td&gt;&lt;td&gt;0&lt;/td&gt;&lt;td&gt;0&lt;/td&gt;&lt;td&gt;1&lt;/td&gt;&lt;td&gt;0&lt;/td&gt;&lt;td&gt;1&lt;/td&gt;&lt;td&gt;0&lt;/td&gt;&lt;td&gt;3&lt;/td&gt;&lt;td&gt;0.12&lt;/td&gt;&lt;td&gt;7&lt;/td&gt;&lt;td&gt;0.28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25&lt;/td&gt;&lt;td&gt;0&lt;/td&gt;&lt;td&gt;1&lt;/td&gt;&lt;td&gt;1&lt;/td&gt;&lt;td&gt;0&lt;/td&gt;&lt;td&gt;0&lt;/td&gt;&lt;td&gt;0&lt;/td&gt;&lt;td&gt;0&lt;/td&gt;&lt;td&gt;2&lt;/td&gt;&lt;td&gt;4&lt;/td&gt;&lt;td&gt;0.16&lt;/td&gt;&lt;td&gt;7&lt;/td&gt;&lt;td&gt;0.28&lt;/td&gt;&lt;/tr&gt;</v>
      </c>
    </row>
    <row r="11" spans="1:46" x14ac:dyDescent="0.3">
      <c r="A11" t="s">
        <v>34</v>
      </c>
      <c r="B11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 s="1">
        <f t="shared" si="0"/>
        <v>6.25E-2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2</v>
      </c>
      <c r="X11">
        <v>4</v>
      </c>
      <c r="Y11" s="1">
        <f t="shared" si="1"/>
        <v>0.25</v>
      </c>
      <c r="Z11">
        <v>5</v>
      </c>
      <c r="AA11" s="1">
        <f t="shared" si="2"/>
        <v>0.3125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16&lt;/td&gt;&lt;td&gt;0&lt;/td&gt;&lt;td&gt;0&lt;/td&gt;&lt;td&gt;0&lt;/td&gt;&lt;td&gt;0&lt;/td&gt;&lt;td&gt;0&lt;/td&gt;&lt;td&gt;0&lt;/td&gt;&lt;td&gt;0&lt;/td&gt;&lt;td&gt;1&lt;/td&gt;&lt;td&gt;0&lt;/td&gt;&lt;td&gt;0&lt;/td&gt;&lt;td&gt;0&lt;/td&gt;&lt;td&gt;1&lt;/td&gt;&lt;td&gt;0.06&lt;/td&gt;&lt;td&gt;5&lt;/td&gt;&lt;td&gt;0.31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16&lt;/td&gt;&lt;td&gt;1&lt;/td&gt;&lt;td&gt;0&lt;/td&gt;&lt;td&gt;0&lt;/td&gt;&lt;td&gt;0&lt;/td&gt;&lt;td&gt;0&lt;/td&gt;&lt;td&gt;0&lt;/td&gt;&lt;td&gt;1&lt;/td&gt;&lt;td&gt;2&lt;/td&gt;&lt;td&gt;4&lt;/td&gt;&lt;td&gt;0.25&lt;/td&gt;&lt;td&gt;5&lt;/td&gt;&lt;td&gt;0.31&lt;/td&gt;&lt;/tr&gt;</v>
      </c>
    </row>
    <row r="12" spans="1:46" x14ac:dyDescent="0.3">
      <c r="A12" t="s">
        <v>35</v>
      </c>
      <c r="B12">
        <v>74</v>
      </c>
      <c r="C12">
        <v>0</v>
      </c>
      <c r="D12">
        <v>0</v>
      </c>
      <c r="E12">
        <v>0</v>
      </c>
      <c r="F12">
        <v>4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5</v>
      </c>
      <c r="O12" s="1">
        <f t="shared" si="0"/>
        <v>6.7567567567567571E-2</v>
      </c>
      <c r="P12">
        <v>3</v>
      </c>
      <c r="Q12">
        <v>5</v>
      </c>
      <c r="R12">
        <v>2</v>
      </c>
      <c r="S12">
        <v>0</v>
      </c>
      <c r="T12">
        <v>0</v>
      </c>
      <c r="U12">
        <v>2</v>
      </c>
      <c r="V12">
        <v>0</v>
      </c>
      <c r="W12">
        <v>3</v>
      </c>
      <c r="X12">
        <v>15</v>
      </c>
      <c r="Y12" s="1">
        <f t="shared" si="1"/>
        <v>0.20270270270270271</v>
      </c>
      <c r="Z12">
        <v>20</v>
      </c>
      <c r="AA12" s="1">
        <f t="shared" si="2"/>
        <v>0.27027027027027029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74&lt;/td&gt;&lt;td&gt;0&lt;/td&gt;&lt;td&gt;0&lt;/td&gt;&lt;td&gt;0&lt;/td&gt;&lt;td&gt;4&lt;/td&gt;&lt;td&gt;1&lt;/td&gt;&lt;td&gt;0&lt;/td&gt;&lt;td&gt;0&lt;/td&gt;&lt;td&gt;0&lt;/td&gt;&lt;td&gt;1&lt;/td&gt;&lt;td&gt;0&lt;/td&gt;&lt;td&gt;0&lt;/td&gt;&lt;td&gt;5&lt;/td&gt;&lt;td&gt;0.07&lt;/td&gt;&lt;td&gt;20&lt;/td&gt;&lt;td&gt;0.27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74&lt;/td&gt;&lt;td&gt;3&lt;/td&gt;&lt;td&gt;5&lt;/td&gt;&lt;td&gt;2&lt;/td&gt;&lt;td&gt;0&lt;/td&gt;&lt;td&gt;0&lt;/td&gt;&lt;td&gt;2&lt;/td&gt;&lt;td&gt;0&lt;/td&gt;&lt;td&gt;3&lt;/td&gt;&lt;td&gt;15&lt;/td&gt;&lt;td&gt;0.20&lt;/td&gt;&lt;td&gt;20&lt;/td&gt;&lt;td&gt;0.27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">
        <f t="shared" si="0"/>
        <v>0</v>
      </c>
      <c r="P14">
        <v>0</v>
      </c>
      <c r="Q14">
        <v>0</v>
      </c>
      <c r="R14">
        <v>1</v>
      </c>
      <c r="S14">
        <v>0</v>
      </c>
      <c r="T14">
        <v>4</v>
      </c>
      <c r="U14">
        <v>0</v>
      </c>
      <c r="V14">
        <v>3</v>
      </c>
      <c r="W14">
        <v>1</v>
      </c>
      <c r="X14">
        <v>2</v>
      </c>
      <c r="Y14" s="1">
        <f t="shared" si="1"/>
        <v>0.125</v>
      </c>
      <c r="Z14">
        <v>2</v>
      </c>
      <c r="AA14" s="1">
        <f t="shared" si="2"/>
        <v>0.125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16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0.13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16&lt;/td&gt;&lt;td&gt;0&lt;/td&gt;&lt;td&gt;0&lt;/td&gt;&lt;td&gt;1&lt;/td&gt;&lt;td&gt;0&lt;/td&gt;&lt;td&gt;4&lt;/td&gt;&lt;td&gt;0&lt;/td&gt;&lt;td&gt;3&lt;/td&gt;&lt;td&gt;1&lt;/td&gt;&lt;td&gt;2&lt;/td&gt;&lt;td&gt;0.13&lt;/td&gt;&lt;td&gt;2&lt;/td&gt;&lt;td&gt;0.13&lt;/td&gt;&lt;/tr&gt;</v>
      </c>
    </row>
    <row r="15" spans="1:46" x14ac:dyDescent="0.3">
      <c r="A15" t="s">
        <v>38</v>
      </c>
      <c r="B15">
        <v>90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2</v>
      </c>
      <c r="O15" s="1">
        <f t="shared" si="0"/>
        <v>2.2222222222222223E-2</v>
      </c>
      <c r="P15">
        <v>3</v>
      </c>
      <c r="Q15">
        <v>4</v>
      </c>
      <c r="R15">
        <v>0</v>
      </c>
      <c r="S15">
        <v>3</v>
      </c>
      <c r="T15">
        <v>0</v>
      </c>
      <c r="U15">
        <v>0</v>
      </c>
      <c r="V15">
        <v>0</v>
      </c>
      <c r="W15">
        <v>5</v>
      </c>
      <c r="X15">
        <v>22</v>
      </c>
      <c r="Y15" s="1">
        <f t="shared" si="1"/>
        <v>0.24444444444444444</v>
      </c>
      <c r="Z15">
        <v>24</v>
      </c>
      <c r="AA15" s="1">
        <f t="shared" si="2"/>
        <v>0.26666666666666666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0&lt;/td&gt;&lt;td&gt;0&lt;/td&gt;&lt;td&gt;1&lt;/td&gt;&lt;td&gt;0&lt;/td&gt;&lt;td&gt;0&lt;/td&gt;&lt;td&gt;0&lt;/td&gt;&lt;td&gt;0&lt;/td&gt;&lt;td&gt;0&lt;/td&gt;&lt;td&gt;0&lt;/td&gt;&lt;td&gt;1&lt;/td&gt;&lt;td&gt;2&lt;/td&gt;&lt;td&gt;0.02&lt;/td&gt;&lt;td&gt;24&lt;/td&gt;&lt;td&gt;0.27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3&lt;/td&gt;&lt;td&gt;4&lt;/td&gt;&lt;td&gt;0&lt;/td&gt;&lt;td&gt;3&lt;/td&gt;&lt;td&gt;0&lt;/td&gt;&lt;td&gt;0&lt;/td&gt;&lt;td&gt;0&lt;/td&gt;&lt;td&gt;5&lt;/td&gt;&lt;td&gt;22&lt;/td&gt;&lt;td&gt;0.24&lt;/td&gt;&lt;td&gt;24&lt;/td&gt;&lt;td&gt;0.27&lt;/td&gt;&lt;/tr&gt;</v>
      </c>
    </row>
    <row r="16" spans="1:46" x14ac:dyDescent="0.3">
      <c r="A16" t="s">
        <v>39</v>
      </c>
      <c r="B16">
        <v>29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3</v>
      </c>
      <c r="O16" s="1">
        <f t="shared" si="0"/>
        <v>0.10344827586206896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3</v>
      </c>
      <c r="Y16" s="1">
        <f t="shared" si="1"/>
        <v>0.10344827586206896</v>
      </c>
      <c r="Z16">
        <v>6</v>
      </c>
      <c r="AA16" s="1">
        <f t="shared" si="2"/>
        <v>0.20689655172413793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29&lt;/td&gt;&lt;td&gt;0&lt;/td&gt;&lt;td&gt;0&lt;/td&gt;&lt;td&gt;0&lt;/td&gt;&lt;td&gt;2&lt;/td&gt;&lt;td&gt;0&lt;/td&gt;&lt;td&gt;0&lt;/td&gt;&lt;td&gt;0&lt;/td&gt;&lt;td&gt;1&lt;/td&gt;&lt;td&gt;0&lt;/td&gt;&lt;td&gt;0&lt;/td&gt;&lt;td&gt;0&lt;/td&gt;&lt;td&gt;3&lt;/td&gt;&lt;td&gt;0.10&lt;/td&gt;&lt;td&gt;6&lt;/td&gt;&lt;td&gt;0.21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29&lt;/td&gt;&lt;td&gt;0&lt;/td&gt;&lt;td&gt;2&lt;/td&gt;&lt;td&gt;0&lt;/td&gt;&lt;td&gt;0&lt;/td&gt;&lt;td&gt;0&lt;/td&gt;&lt;td&gt;0&lt;/td&gt;&lt;td&gt;0&lt;/td&gt;&lt;td&gt;1&lt;/td&gt;&lt;td&gt;3&lt;/td&gt;&lt;td&gt;0.10&lt;/td&gt;&lt;td&gt;6&lt;/td&gt;&lt;td&gt;0.21&lt;/td&gt;&lt;/tr&gt;</v>
      </c>
    </row>
    <row r="17" spans="1:46" x14ac:dyDescent="0.3">
      <c r="A17" t="s">
        <v>40</v>
      </c>
      <c r="B17">
        <v>65</v>
      </c>
      <c r="C17">
        <v>0</v>
      </c>
      <c r="D17">
        <v>0</v>
      </c>
      <c r="E17">
        <v>0</v>
      </c>
      <c r="F17">
        <v>2</v>
      </c>
      <c r="G17">
        <v>0</v>
      </c>
      <c r="H17">
        <v>2</v>
      </c>
      <c r="I17">
        <v>1</v>
      </c>
      <c r="J17">
        <v>2</v>
      </c>
      <c r="K17">
        <v>0</v>
      </c>
      <c r="L17">
        <v>1</v>
      </c>
      <c r="M17">
        <v>0</v>
      </c>
      <c r="N17">
        <v>8</v>
      </c>
      <c r="O17" s="1">
        <f t="shared" si="0"/>
        <v>0.12307692307692308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1</v>
      </c>
      <c r="X17">
        <v>4</v>
      </c>
      <c r="Y17" s="1">
        <f t="shared" si="1"/>
        <v>6.1538461538461542E-2</v>
      </c>
      <c r="Z17">
        <v>12</v>
      </c>
      <c r="AA17" s="1">
        <f t="shared" si="2"/>
        <v>0.18461538461538463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65&lt;/td&gt;&lt;td&gt;0&lt;/td&gt;&lt;td&gt;0&lt;/td&gt;&lt;td&gt;0&lt;/td&gt;&lt;td&gt;2&lt;/td&gt;&lt;td&gt;0&lt;/td&gt;&lt;td&gt;2&lt;/td&gt;&lt;td&gt;1&lt;/td&gt;&lt;td&gt;2&lt;/td&gt;&lt;td&gt;0&lt;/td&gt;&lt;td&gt;1&lt;/td&gt;&lt;td&gt;0&lt;/td&gt;&lt;td&gt;8&lt;/td&gt;&lt;td&gt;0.12&lt;/td&gt;&lt;td&gt;12&lt;/td&gt;&lt;td&gt;0.18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65&lt;/td&gt;&lt;td&gt;1&lt;/td&gt;&lt;td&gt;0&lt;/td&gt;&lt;td&gt;1&lt;/td&gt;&lt;td&gt;0&lt;/td&gt;&lt;td&gt;0&lt;/td&gt;&lt;td&gt;1&lt;/td&gt;&lt;td&gt;0&lt;/td&gt;&lt;td&gt;1&lt;/td&gt;&lt;td&gt;4&lt;/td&gt;&lt;td&gt;0.06&lt;/td&gt;&lt;td&gt;12&lt;/td&gt;&lt;td&gt;0.18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54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5</v>
      </c>
      <c r="O19" s="1">
        <f t="shared" si="0"/>
        <v>9.2592592592592587E-2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4</v>
      </c>
      <c r="Y19" s="1">
        <f t="shared" si="1"/>
        <v>7.407407407407407E-2</v>
      </c>
      <c r="Z19">
        <v>9</v>
      </c>
      <c r="AA19" s="1">
        <f t="shared" si="2"/>
        <v>0.16666666666666666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54&lt;/td&gt;&lt;td&gt;0&lt;/td&gt;&lt;td&gt;0&lt;/td&gt;&lt;td&gt;0&lt;/td&gt;&lt;td&gt;1&lt;/td&gt;&lt;td&gt;0&lt;/td&gt;&lt;td&gt;0&lt;/td&gt;&lt;td&gt;1&lt;/td&gt;&lt;td&gt;1&lt;/td&gt;&lt;td&gt;1&lt;/td&gt;&lt;td&gt;1&lt;/td&gt;&lt;td&gt;0&lt;/td&gt;&lt;td&gt;5&lt;/td&gt;&lt;td&gt;0.09&lt;/td&gt;&lt;td&gt;9&lt;/td&gt;&lt;td&gt;0.17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54&lt;/td&gt;&lt;td&gt;1&lt;/td&gt;&lt;td&gt;1&lt;/td&gt;&lt;td&gt;1&lt;/td&gt;&lt;td&gt;0&lt;/td&gt;&lt;td&gt;0&lt;/td&gt;&lt;td&gt;0&lt;/td&gt;&lt;td&gt;0&lt;/td&gt;&lt;td&gt;1&lt;/td&gt;&lt;td&gt;4&lt;/td&gt;&lt;td&gt;0.07&lt;/td&gt;&lt;td&gt;9&lt;/td&gt;&lt;td&gt;0.17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61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4</v>
      </c>
      <c r="O21" s="1">
        <f t="shared" si="0"/>
        <v>6.5573770491803282E-2</v>
      </c>
      <c r="P21">
        <v>0</v>
      </c>
      <c r="Q21">
        <v>5</v>
      </c>
      <c r="R21">
        <v>1</v>
      </c>
      <c r="S21">
        <v>0</v>
      </c>
      <c r="T21">
        <v>0</v>
      </c>
      <c r="U21">
        <v>1</v>
      </c>
      <c r="V21">
        <v>1</v>
      </c>
      <c r="W21">
        <v>3</v>
      </c>
      <c r="X21">
        <v>11</v>
      </c>
      <c r="Y21" s="1">
        <f t="shared" si="1"/>
        <v>0.18032786885245902</v>
      </c>
      <c r="Z21">
        <v>15</v>
      </c>
      <c r="AA21" s="1">
        <f t="shared" si="2"/>
        <v>0.24590163934426229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61&lt;/td&gt;&lt;td&gt;0&lt;/td&gt;&lt;td&gt;0&lt;/td&gt;&lt;td&gt;0&lt;/td&gt;&lt;td&gt;3&lt;/td&gt;&lt;td&gt;0&lt;/td&gt;&lt;td&gt;0&lt;/td&gt;&lt;td&gt;0&lt;/td&gt;&lt;td&gt;0&lt;/td&gt;&lt;td&gt;0&lt;/td&gt;&lt;td&gt;1&lt;/td&gt;&lt;td&gt;0&lt;/td&gt;&lt;td&gt;4&lt;/td&gt;&lt;td&gt;0.07&lt;/td&gt;&lt;td&gt;15&lt;/td&gt;&lt;td&gt;0.25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61&lt;/td&gt;&lt;td&gt;0&lt;/td&gt;&lt;td&gt;5&lt;/td&gt;&lt;td&gt;1&lt;/td&gt;&lt;td&gt;0&lt;/td&gt;&lt;td&gt;0&lt;/td&gt;&lt;td&gt;1&lt;/td&gt;&lt;td&gt;1&lt;/td&gt;&lt;td&gt;3&lt;/td&gt;&lt;td&gt;11&lt;/td&gt;&lt;td&gt;0.18&lt;/td&gt;&lt;td&gt;15&lt;/td&gt;&lt;td&gt;0.25&lt;/td&gt;&lt;/tr&gt;</v>
      </c>
    </row>
    <row r="22" spans="1:46" x14ac:dyDescent="0.3">
      <c r="A22" t="s">
        <v>45</v>
      </c>
      <c r="B22">
        <v>90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 s="1">
        <f t="shared" si="0"/>
        <v>1.1111111111111112E-2</v>
      </c>
      <c r="P22">
        <v>1</v>
      </c>
      <c r="Q22">
        <v>2</v>
      </c>
      <c r="R22">
        <v>1</v>
      </c>
      <c r="S22">
        <v>1</v>
      </c>
      <c r="T22">
        <v>2</v>
      </c>
      <c r="U22">
        <v>0</v>
      </c>
      <c r="V22">
        <v>5</v>
      </c>
      <c r="W22">
        <v>6</v>
      </c>
      <c r="X22">
        <v>18</v>
      </c>
      <c r="Y22" s="1">
        <f t="shared" si="1"/>
        <v>0.2</v>
      </c>
      <c r="Z22">
        <v>19</v>
      </c>
      <c r="AA22" s="1">
        <f t="shared" si="2"/>
        <v>0.21111111111111111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0&lt;/td&gt;&lt;td&gt;0&lt;/td&gt;&lt;td&gt;0&lt;/td&gt;&lt;td&gt;1&lt;/td&gt;&lt;td&gt;0&lt;/td&gt;&lt;td&gt;0&lt;/td&gt;&lt;td&gt;0&lt;/td&gt;&lt;td&gt;0&lt;/td&gt;&lt;td&gt;0&lt;/td&gt;&lt;td&gt;0&lt;/td&gt;&lt;td&gt;0&lt;/td&gt;&lt;td&gt;1&lt;/td&gt;&lt;td&gt;0.01&lt;/td&gt;&lt;td&gt;19&lt;/td&gt;&lt;td&gt;0.21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1&lt;/td&gt;&lt;td&gt;2&lt;/td&gt;&lt;td&gt;1&lt;/td&gt;&lt;td&gt;1&lt;/td&gt;&lt;td&gt;2&lt;/td&gt;&lt;td&gt;0&lt;/td&gt;&lt;td&gt;5&lt;/td&gt;&lt;td&gt;6&lt;/td&gt;&lt;td&gt;18&lt;/td&gt;&lt;td&gt;0.20&lt;/td&gt;&lt;td&gt;19&lt;/td&gt;&lt;td&gt;0.21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75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3</v>
      </c>
      <c r="J24">
        <v>0</v>
      </c>
      <c r="K24">
        <v>0</v>
      </c>
      <c r="L24">
        <v>3</v>
      </c>
      <c r="M24">
        <v>0</v>
      </c>
      <c r="N24">
        <v>7</v>
      </c>
      <c r="O24" s="1">
        <f t="shared" si="0"/>
        <v>9.3333333333333338E-2</v>
      </c>
      <c r="P24">
        <v>2</v>
      </c>
      <c r="Q24">
        <v>6</v>
      </c>
      <c r="R24">
        <v>1</v>
      </c>
      <c r="S24">
        <v>1</v>
      </c>
      <c r="T24">
        <v>1</v>
      </c>
      <c r="U24">
        <v>0</v>
      </c>
      <c r="V24">
        <v>2</v>
      </c>
      <c r="W24">
        <v>4</v>
      </c>
      <c r="X24">
        <v>17</v>
      </c>
      <c r="Y24" s="1">
        <f t="shared" si="1"/>
        <v>0.22666666666666666</v>
      </c>
      <c r="Z24">
        <v>24</v>
      </c>
      <c r="AA24" s="1">
        <f t="shared" si="2"/>
        <v>0.32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75&lt;/td&gt;&lt;td&gt;0&lt;/td&gt;&lt;td&gt;0&lt;/td&gt;&lt;td&gt;0&lt;/td&gt;&lt;td&gt;1&lt;/td&gt;&lt;td&gt;1&lt;/td&gt;&lt;td&gt;0&lt;/td&gt;&lt;td&gt;3&lt;/td&gt;&lt;td&gt;0&lt;/td&gt;&lt;td&gt;0&lt;/td&gt;&lt;td&gt;3&lt;/td&gt;&lt;td&gt;0&lt;/td&gt;&lt;td&gt;7&lt;/td&gt;&lt;td&gt;0.09&lt;/td&gt;&lt;td&gt;24&lt;/td&gt;&lt;td&gt;0.32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75&lt;/td&gt;&lt;td&gt;2&lt;/td&gt;&lt;td&gt;6&lt;/td&gt;&lt;td&gt;1&lt;/td&gt;&lt;td&gt;1&lt;/td&gt;&lt;td&gt;1&lt;/td&gt;&lt;td&gt;0&lt;/td&gt;&lt;td&gt;2&lt;/td&gt;&lt;td&gt;4&lt;/td&gt;&lt;td&gt;17&lt;/td&gt;&lt;td&gt;0.23&lt;/td&gt;&lt;td&gt;24&lt;/td&gt;&lt;td&gt;0.32&lt;/td&gt;&lt;/tr&gt;</v>
      </c>
    </row>
    <row r="26" spans="1:46" x14ac:dyDescent="0.3">
      <c r="A26" t="str">
        <f>AC4</f>
        <v>&lt;tr&gt;&lt;td&gt;Makovicka&lt;/td&gt;&lt;td&gt;69&lt;/td&gt;&lt;td&gt;1&lt;/td&gt;&lt;td&gt;0&lt;/td&gt;&lt;td&gt;0&lt;/td&gt;&lt;td&gt;5&lt;/td&gt;&lt;td&gt;1&lt;/td&gt;&lt;td&gt;0&lt;/td&gt;&lt;td&gt;2&lt;/td&gt;&lt;td&gt;1&lt;/td&gt;&lt;td&gt;1&lt;/td&gt;&lt;td&gt;1&lt;/td&gt;&lt;td&gt;1&lt;/td&gt;&lt;td&gt;12&lt;/td&gt;&lt;td&gt;0.17&lt;/td&gt;&lt;td&gt;19&lt;/td&gt;&lt;td&gt;0.28&lt;/td&gt;&lt;/tr&gt;</v>
      </c>
    </row>
    <row r="27" spans="1:46" x14ac:dyDescent="0.3">
      <c r="A27" t="str">
        <f>AC15</f>
        <v>&lt;tr&gt;&lt;td&gt;Williams&lt;/td&gt;&lt;td&gt;90&lt;/td&gt;&lt;td&gt;0&lt;/td&gt;&lt;td&gt;0&lt;/td&gt;&lt;td&gt;0&lt;/td&gt;&lt;td&gt;1&lt;/td&gt;&lt;td&gt;0&lt;/td&gt;&lt;td&gt;0&lt;/td&gt;&lt;td&gt;0&lt;/td&gt;&lt;td&gt;0&lt;/td&gt;&lt;td&gt;0&lt;/td&gt;&lt;td&gt;0&lt;/td&gt;&lt;td&gt;1&lt;/td&gt;&lt;td&gt;2&lt;/td&gt;&lt;td&gt;0.02&lt;/td&gt;&lt;td&gt;24&lt;/td&gt;&lt;td&gt;0.27&lt;/td&gt;&lt;/tr&gt;</v>
      </c>
    </row>
    <row r="28" spans="1:46" x14ac:dyDescent="0.3">
      <c r="A28" t="str">
        <f>AC9</f>
        <v>&lt;tr&gt;&lt;td&gt;Guyott&lt;/td&gt;&lt;td&gt;82&lt;/td&gt;&lt;td&gt;1&lt;/td&gt;&lt;td&gt;0&lt;/td&gt;&lt;td&gt;0&lt;/td&gt;&lt;td&gt;5&lt;/td&gt;&lt;td&gt;0&lt;/td&gt;&lt;td&gt;0&lt;/td&gt;&lt;td&gt;1&lt;/td&gt;&lt;td&gt;1&lt;/td&gt;&lt;td&gt;2&lt;/td&gt;&lt;td&gt;1&lt;/td&gt;&lt;td&gt;1&lt;/td&gt;&lt;td&gt;12&lt;/td&gt;&lt;td&gt;0.15&lt;/td&gt;&lt;td&gt;33&lt;/td&gt;&lt;td&gt;0.40&lt;/td&gt;&lt;/tr&gt;</v>
      </c>
    </row>
    <row r="29" spans="1:46" x14ac:dyDescent="0.3">
      <c r="A29" t="str">
        <f>AC24</f>
        <v>&lt;tr&gt;&lt;td&gt;Sant&lt;/td&gt;&lt;td&gt;75&lt;/td&gt;&lt;td&gt;0&lt;/td&gt;&lt;td&gt;0&lt;/td&gt;&lt;td&gt;0&lt;/td&gt;&lt;td&gt;1&lt;/td&gt;&lt;td&gt;1&lt;/td&gt;&lt;td&gt;0&lt;/td&gt;&lt;td&gt;3&lt;/td&gt;&lt;td&gt;0&lt;/td&gt;&lt;td&gt;0&lt;/td&gt;&lt;td&gt;3&lt;/td&gt;&lt;td&gt;0&lt;/td&gt;&lt;td&gt;7&lt;/td&gt;&lt;td&gt;0.09&lt;/td&gt;&lt;td&gt;24&lt;/td&gt;&lt;td&gt;0.32&lt;/td&gt;&lt;/tr&gt;</v>
      </c>
    </row>
    <row r="30" spans="1:46" x14ac:dyDescent="0.3">
      <c r="A30" t="str">
        <f>AC12</f>
        <v>&lt;tr&gt;&lt;td&gt;Reda&lt;/td&gt;&lt;td&gt;74&lt;/td&gt;&lt;td&gt;0&lt;/td&gt;&lt;td&gt;0&lt;/td&gt;&lt;td&gt;0&lt;/td&gt;&lt;td&gt;4&lt;/td&gt;&lt;td&gt;1&lt;/td&gt;&lt;td&gt;0&lt;/td&gt;&lt;td&gt;0&lt;/td&gt;&lt;td&gt;0&lt;/td&gt;&lt;td&gt;1&lt;/td&gt;&lt;td&gt;0&lt;/td&gt;&lt;td&gt;0&lt;/td&gt;&lt;td&gt;5&lt;/td&gt;&lt;td&gt;0.07&lt;/td&gt;&lt;td&gt;20&lt;/td&gt;&lt;td&gt;0.27&lt;/td&gt;&lt;/tr&gt;</v>
      </c>
    </row>
    <row r="31" spans="1:46" x14ac:dyDescent="0.3">
      <c r="A31" t="str">
        <f>AC22</f>
        <v>&lt;tr&gt;&lt;td&gt;Borer&lt;/td&gt;&lt;td&gt;90&lt;/td&gt;&lt;td&gt;0&lt;/td&gt;&lt;td&gt;0&lt;/td&gt;&lt;td&gt;0&lt;/td&gt;&lt;td&gt;1&lt;/td&gt;&lt;td&gt;0&lt;/td&gt;&lt;td&gt;0&lt;/td&gt;&lt;td&gt;0&lt;/td&gt;&lt;td&gt;0&lt;/td&gt;&lt;td&gt;0&lt;/td&gt;&lt;td&gt;0&lt;/td&gt;&lt;td&gt;0&lt;/td&gt;&lt;td&gt;1&lt;/td&gt;&lt;td&gt;0.01&lt;/td&gt;&lt;td&gt;19&lt;/td&gt;&lt;td&gt;0.21&lt;/td&gt;&lt;/tr&gt;</v>
      </c>
    </row>
    <row r="32" spans="1:46" x14ac:dyDescent="0.3">
      <c r="A32" t="str">
        <f>AC3</f>
        <v>&lt;tr&gt;&lt;td&gt;Geraneo&lt;/td&gt;&lt;td&gt;7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1&lt;/td&gt;&lt;td&gt;0.14&lt;/td&gt;&lt;/tr&gt;</v>
      </c>
    </row>
    <row r="33" spans="1:1" x14ac:dyDescent="0.3">
      <c r="A33" t="str">
        <f>AC7</f>
        <v>&lt;tr&gt;&lt;td&gt;Donnelly&lt;/td&gt;&lt;td&gt;82&lt;/td&gt;&lt;td&gt;0&lt;/td&gt;&lt;td&gt;0&lt;/td&gt;&lt;td&gt;0&lt;/td&gt;&lt;td&gt;4&lt;/td&gt;&lt;td&gt;0&lt;/td&gt;&lt;td&gt;0&lt;/td&gt;&lt;td&gt;0&lt;/td&gt;&lt;td&gt;0&lt;/td&gt;&lt;td&gt;0&lt;/td&gt;&lt;td&gt;0&lt;/td&gt;&lt;td&gt;1&lt;/td&gt;&lt;td&gt;5&lt;/td&gt;&lt;td&gt;0.06&lt;/td&gt;&lt;td&gt;23&lt;/td&gt;&lt;td&gt;0.28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16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2&lt;/td&gt;&lt;td&gt;0.13&lt;/td&gt;&lt;/tr&gt;</v>
      </c>
    </row>
    <row r="38" spans="1:1" x14ac:dyDescent="0.3">
      <c r="A38" t="str">
        <f>AC21</f>
        <v>&lt;tr&gt;&lt;td&gt;Snowden&lt;/td&gt;&lt;td&gt;61&lt;/td&gt;&lt;td&gt;0&lt;/td&gt;&lt;td&gt;0&lt;/td&gt;&lt;td&gt;0&lt;/td&gt;&lt;td&gt;3&lt;/td&gt;&lt;td&gt;0&lt;/td&gt;&lt;td&gt;0&lt;/td&gt;&lt;td&gt;0&lt;/td&gt;&lt;td&gt;0&lt;/td&gt;&lt;td&gt;0&lt;/td&gt;&lt;td&gt;1&lt;/td&gt;&lt;td&gt;0&lt;/td&gt;&lt;td&gt;4&lt;/td&gt;&lt;td&gt;0.07&lt;/td&gt;&lt;td&gt;15&lt;/td&gt;&lt;td&gt;0.25&lt;/td&gt;&lt;/tr&gt;</v>
      </c>
    </row>
    <row r="39" spans="1:1" x14ac:dyDescent="0.3">
      <c r="A39" t="str">
        <f>AC11</f>
        <v>&lt;tr&gt;&lt;td&gt;Prososki&lt;/td&gt;&lt;td&gt;16&lt;/td&gt;&lt;td&gt;0&lt;/td&gt;&lt;td&gt;0&lt;/td&gt;&lt;td&gt;0&lt;/td&gt;&lt;td&gt;0&lt;/td&gt;&lt;td&gt;0&lt;/td&gt;&lt;td&gt;0&lt;/td&gt;&lt;td&gt;0&lt;/td&gt;&lt;td&gt;1&lt;/td&gt;&lt;td&gt;0&lt;/td&gt;&lt;td&gt;0&lt;/td&gt;&lt;td&gt;0&lt;/td&gt;&lt;td&gt;1&lt;/td&gt;&lt;td&gt;0.06&lt;/td&gt;&lt;td&gt;5&lt;/td&gt;&lt;td&gt;0.31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65&lt;/td&gt;&lt;td&gt;0&lt;/td&gt;&lt;td&gt;0&lt;/td&gt;&lt;td&gt;0&lt;/td&gt;&lt;td&gt;5&lt;/td&gt;&lt;td&gt;0&lt;/td&gt;&lt;td&gt;4&lt;/td&gt;&lt;td&gt;3&lt;/td&gt;&lt;td&gt;2&lt;/td&gt;&lt;td&gt;2&lt;/td&gt;&lt;td&gt;0&lt;/td&gt;&lt;td&gt;0&lt;/td&gt;&lt;td&gt;16&lt;/td&gt;&lt;td&gt;0.25&lt;/td&gt;&lt;td&gt;31&lt;/td&gt;&lt;td&gt;0.48&lt;/td&gt;&lt;/tr&gt;</v>
      </c>
    </row>
    <row r="42" spans="1:1" x14ac:dyDescent="0.3">
      <c r="A42" t="str">
        <f>AC10</f>
        <v>&lt;tr&gt;&lt;td&gt;Rudney&lt;/td&gt;&lt;td&gt;25&lt;/td&gt;&lt;td&gt;0&lt;/td&gt;&lt;td&gt;0&lt;/td&gt;&lt;td&gt;0&lt;/td&gt;&lt;td&gt;1&lt;/td&gt;&lt;td&gt;1&lt;/td&gt;&lt;td&gt;0&lt;/td&gt;&lt;td&gt;0&lt;/td&gt;&lt;td&gt;1&lt;/td&gt;&lt;td&gt;0&lt;/td&gt;&lt;td&gt;1&lt;/td&gt;&lt;td&gt;0&lt;/td&gt;&lt;td&gt;3&lt;/td&gt;&lt;td&gt;0.12&lt;/td&gt;&lt;td&gt;7&lt;/td&gt;&lt;td&gt;0.28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54&lt;/td&gt;&lt;td&gt;0&lt;/td&gt;&lt;td&gt;0&lt;/td&gt;&lt;td&gt;0&lt;/td&gt;&lt;td&gt;1&lt;/td&gt;&lt;td&gt;0&lt;/td&gt;&lt;td&gt;0&lt;/td&gt;&lt;td&gt;1&lt;/td&gt;&lt;td&gt;1&lt;/td&gt;&lt;td&gt;1&lt;/td&gt;&lt;td&gt;1&lt;/td&gt;&lt;td&gt;0&lt;/td&gt;&lt;td&gt;5&lt;/td&gt;&lt;td&gt;0.09&lt;/td&gt;&lt;td&gt;9&lt;/td&gt;&lt;td&gt;0.17&lt;/td&gt;&lt;/tr&gt;</v>
      </c>
    </row>
    <row r="45" spans="1:1" x14ac:dyDescent="0.3">
      <c r="A45" t="str">
        <f>AC17</f>
        <v>&lt;tr&gt;&lt;td&gt;Carpenter&lt;/td&gt;&lt;td&gt;65&lt;/td&gt;&lt;td&gt;0&lt;/td&gt;&lt;td&gt;0&lt;/td&gt;&lt;td&gt;0&lt;/td&gt;&lt;td&gt;2&lt;/td&gt;&lt;td&gt;0&lt;/td&gt;&lt;td&gt;2&lt;/td&gt;&lt;td&gt;1&lt;/td&gt;&lt;td&gt;2&lt;/td&gt;&lt;td&gt;0&lt;/td&gt;&lt;td&gt;1&lt;/td&gt;&lt;td&gt;0&lt;/td&gt;&lt;td&gt;8&lt;/td&gt;&lt;td&gt;0.12&lt;/td&gt;&lt;td&gt;12&lt;/td&gt;&lt;td&gt;0.18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29&lt;/td&gt;&lt;td&gt;0&lt;/td&gt;&lt;td&gt;0&lt;/td&gt;&lt;td&gt;0&lt;/td&gt;&lt;td&gt;2&lt;/td&gt;&lt;td&gt;0&lt;/td&gt;&lt;td&gt;0&lt;/td&gt;&lt;td&gt;0&lt;/td&gt;&lt;td&gt;1&lt;/td&gt;&lt;td&gt;0&lt;/td&gt;&lt;td&gt;0&lt;/td&gt;&lt;td&gt;0&lt;/td&gt;&lt;td&gt;3&lt;/td&gt;&lt;td&gt;0.10&lt;/td&gt;&lt;td&gt;6&lt;/td&gt;&lt;td&gt;0.21&lt;/td&gt;&lt;/tr&gt;</v>
      </c>
    </row>
    <row r="48" spans="1:1" x14ac:dyDescent="0.3">
      <c r="A48" t="str">
        <f>AC6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0" spans="1:1" x14ac:dyDescent="0.3">
      <c r="A50" t="str">
        <f>AT4</f>
        <v>&lt;tr&gt;&lt;td&gt;Makovicka&lt;/td&gt;&lt;td&gt;69&lt;/td&gt;&lt;td&gt;1&lt;/td&gt;&lt;td&gt;3&lt;/td&gt;&lt;td&gt;0&lt;/td&gt;&lt;td&gt;0&lt;/td&gt;&lt;td&gt;0&lt;/td&gt;&lt;td&gt;1&lt;/td&gt;&lt;td&gt;0&lt;/td&gt;&lt;td&gt;2&lt;/td&gt;&lt;td&gt;7&lt;/td&gt;&lt;td&gt;0.10&lt;/td&gt;&lt;td&gt;19&lt;/td&gt;&lt;td&gt;0.28&lt;/td&gt;&lt;/tr&gt;</v>
      </c>
    </row>
    <row r="51" spans="1:1" x14ac:dyDescent="0.3">
      <c r="A51" t="str">
        <f>AT15</f>
        <v>&lt;tr&gt;&lt;td&gt;Williams&lt;/td&gt;&lt;td&gt;90&lt;/td&gt;&lt;td&gt;3&lt;/td&gt;&lt;td&gt;4&lt;/td&gt;&lt;td&gt;0&lt;/td&gt;&lt;td&gt;3&lt;/td&gt;&lt;td&gt;0&lt;/td&gt;&lt;td&gt;0&lt;/td&gt;&lt;td&gt;0&lt;/td&gt;&lt;td&gt;5&lt;/td&gt;&lt;td&gt;22&lt;/td&gt;&lt;td&gt;0.24&lt;/td&gt;&lt;td&gt;24&lt;/td&gt;&lt;td&gt;0.27&lt;/td&gt;&lt;/tr&gt;</v>
      </c>
    </row>
    <row r="52" spans="1:1" x14ac:dyDescent="0.3">
      <c r="A52" t="str">
        <f>AT9</f>
        <v>&lt;tr&gt;&lt;td&gt;Guyott&lt;/td&gt;&lt;td&gt;82&lt;/td&gt;&lt;td&gt;2&lt;/td&gt;&lt;td&gt;6&lt;/td&gt;&lt;td&gt;1&lt;/td&gt;&lt;td&gt;0&lt;/td&gt;&lt;td&gt;1&lt;/td&gt;&lt;td&gt;3&lt;/td&gt;&lt;td&gt;4&lt;/td&gt;&lt;td&gt;4&lt;/td&gt;&lt;td&gt;21&lt;/td&gt;&lt;td&gt;0.26&lt;/td&gt;&lt;td&gt;33&lt;/td&gt;&lt;td&gt;0.40&lt;/td&gt;&lt;/tr&gt;</v>
      </c>
    </row>
    <row r="53" spans="1:1" x14ac:dyDescent="0.3">
      <c r="A53" t="str">
        <f>AT24</f>
        <v>&lt;tr&gt;&lt;td&gt;Sant&lt;/td&gt;&lt;td&gt;75&lt;/td&gt;&lt;td&gt;2&lt;/td&gt;&lt;td&gt;6&lt;/td&gt;&lt;td&gt;1&lt;/td&gt;&lt;td&gt;1&lt;/td&gt;&lt;td&gt;1&lt;/td&gt;&lt;td&gt;0&lt;/td&gt;&lt;td&gt;2&lt;/td&gt;&lt;td&gt;4&lt;/td&gt;&lt;td&gt;17&lt;/td&gt;&lt;td&gt;0.23&lt;/td&gt;&lt;td&gt;24&lt;/td&gt;&lt;td&gt;0.32&lt;/td&gt;&lt;/tr&gt;</v>
      </c>
    </row>
    <row r="54" spans="1:1" x14ac:dyDescent="0.3">
      <c r="A54" t="str">
        <f>AT12</f>
        <v>&lt;tr&gt;&lt;td&gt;Reda&lt;/td&gt;&lt;td&gt;74&lt;/td&gt;&lt;td&gt;3&lt;/td&gt;&lt;td&gt;5&lt;/td&gt;&lt;td&gt;2&lt;/td&gt;&lt;td&gt;0&lt;/td&gt;&lt;td&gt;0&lt;/td&gt;&lt;td&gt;2&lt;/td&gt;&lt;td&gt;0&lt;/td&gt;&lt;td&gt;3&lt;/td&gt;&lt;td&gt;15&lt;/td&gt;&lt;td&gt;0.20&lt;/td&gt;&lt;td&gt;20&lt;/td&gt;&lt;td&gt;0.27&lt;/td&gt;&lt;/tr&gt;</v>
      </c>
    </row>
    <row r="55" spans="1:1" x14ac:dyDescent="0.3">
      <c r="A55" t="str">
        <f>AT22</f>
        <v>&lt;tr&gt;&lt;td&gt;Borer&lt;/td&gt;&lt;td&gt;90&lt;/td&gt;&lt;td&gt;1&lt;/td&gt;&lt;td&gt;2&lt;/td&gt;&lt;td&gt;1&lt;/td&gt;&lt;td&gt;1&lt;/td&gt;&lt;td&gt;2&lt;/td&gt;&lt;td&gt;0&lt;/td&gt;&lt;td&gt;5&lt;/td&gt;&lt;td&gt;6&lt;/td&gt;&lt;td&gt;18&lt;/td&gt;&lt;td&gt;0.20&lt;/td&gt;&lt;td&gt;19&lt;/td&gt;&lt;td&gt;0.21&lt;/td&gt;&lt;/tr&gt;</v>
      </c>
    </row>
    <row r="56" spans="1:1" x14ac:dyDescent="0.3">
      <c r="A56" t="str">
        <f>AT3</f>
        <v>&lt;tr&gt;&lt;td&gt;Geraneo&lt;/td&gt;&lt;td&gt;7&lt;/td&gt;&lt;td&gt;1&lt;/td&gt;&lt;td&gt;0&lt;/td&gt;&lt;td&gt;0&lt;/td&gt;&lt;td&gt;0&lt;/td&gt;&lt;td&gt;0&lt;/td&gt;&lt;td&gt;0&lt;/td&gt;&lt;td&gt;0&lt;/td&gt;&lt;td&gt;0&lt;/td&gt;&lt;td&gt;1&lt;/td&gt;&lt;td&gt;0.14&lt;/td&gt;&lt;td&gt;1&lt;/td&gt;&lt;td&gt;0.14&lt;/td&gt;&lt;/tr&gt;</v>
      </c>
    </row>
    <row r="57" spans="1:1" x14ac:dyDescent="0.3">
      <c r="A57" t="str">
        <f>AT7</f>
        <v>&lt;tr&gt;&lt;td&gt;Donnelly&lt;/td&gt;&lt;td&gt;82&lt;/td&gt;&lt;td&gt;2&lt;/td&gt;&lt;td&gt;3&lt;/td&gt;&lt;td&gt;0&lt;/td&gt;&lt;td&gt;1&lt;/td&gt;&lt;td&gt;3&lt;/td&gt;&lt;td&gt;0&lt;/td&gt;&lt;td&gt;5&lt;/td&gt;&lt;td&gt;4&lt;/td&gt;&lt;td&gt;18&lt;/td&gt;&lt;td&gt;0.22&lt;/td&gt;&lt;td&gt;23&lt;/td&gt;&lt;td&gt;0.28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16&lt;/td&gt;&lt;td&gt;0&lt;/td&gt;&lt;td&gt;0&lt;/td&gt;&lt;td&gt;1&lt;/td&gt;&lt;td&gt;0&lt;/td&gt;&lt;td&gt;4&lt;/td&gt;&lt;td&gt;0&lt;/td&gt;&lt;td&gt;3&lt;/td&gt;&lt;td&gt;1&lt;/td&gt;&lt;td&gt;2&lt;/td&gt;&lt;td&gt;0.13&lt;/td&gt;&lt;td&gt;2&lt;/td&gt;&lt;td&gt;0.13&lt;/td&gt;&lt;/tr&gt;</v>
      </c>
    </row>
    <row r="62" spans="1:1" x14ac:dyDescent="0.3">
      <c r="A62" t="str">
        <f>AT21</f>
        <v>&lt;tr&gt;&lt;td&gt;Snowden&lt;/td&gt;&lt;td&gt;61&lt;/td&gt;&lt;td&gt;0&lt;/td&gt;&lt;td&gt;5&lt;/td&gt;&lt;td&gt;1&lt;/td&gt;&lt;td&gt;0&lt;/td&gt;&lt;td&gt;0&lt;/td&gt;&lt;td&gt;1&lt;/td&gt;&lt;td&gt;1&lt;/td&gt;&lt;td&gt;3&lt;/td&gt;&lt;td&gt;11&lt;/td&gt;&lt;td&gt;0.18&lt;/td&gt;&lt;td&gt;15&lt;/td&gt;&lt;td&gt;0.25&lt;/td&gt;&lt;/tr&gt;</v>
      </c>
    </row>
    <row r="63" spans="1:1" x14ac:dyDescent="0.3">
      <c r="A63" t="str">
        <f>AT11</f>
        <v>&lt;tr&gt;&lt;td&gt;Prososki&lt;/td&gt;&lt;td&gt;16&lt;/td&gt;&lt;td&gt;1&lt;/td&gt;&lt;td&gt;0&lt;/td&gt;&lt;td&gt;0&lt;/td&gt;&lt;td&gt;0&lt;/td&gt;&lt;td&gt;0&lt;/td&gt;&lt;td&gt;0&lt;/td&gt;&lt;td&gt;1&lt;/td&gt;&lt;td&gt;2&lt;/td&gt;&lt;td&gt;4&lt;/td&gt;&lt;td&gt;0.25&lt;/td&gt;&lt;td&gt;5&lt;/td&gt;&lt;td&gt;0.31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65&lt;/td&gt;&lt;td&gt;1&lt;/td&gt;&lt;td&gt;2&lt;/td&gt;&lt;td&gt;2&lt;/td&gt;&lt;td&gt;0&lt;/td&gt;&lt;td&gt;3&lt;/td&gt;&lt;td&gt;2&lt;/td&gt;&lt;td&gt;1&lt;/td&gt;&lt;td&gt;4&lt;/td&gt;&lt;td&gt;15&lt;/td&gt;&lt;td&gt;0.23&lt;/td&gt;&lt;td&gt;31&lt;/td&gt;&lt;td&gt;0.48&lt;/td&gt;&lt;/tr&gt;</v>
      </c>
    </row>
    <row r="66" spans="1:23" x14ac:dyDescent="0.3">
      <c r="A66" t="str">
        <f>AT10</f>
        <v>&lt;tr&gt;&lt;td&gt;Rudney&lt;/td&gt;&lt;td&gt;25&lt;/td&gt;&lt;td&gt;0&lt;/td&gt;&lt;td&gt;1&lt;/td&gt;&lt;td&gt;1&lt;/td&gt;&lt;td&gt;0&lt;/td&gt;&lt;td&gt;0&lt;/td&gt;&lt;td&gt;0&lt;/td&gt;&lt;td&gt;0&lt;/td&gt;&lt;td&gt;2&lt;/td&gt;&lt;td&gt;4&lt;/td&gt;&lt;td&gt;0.16&lt;/td&gt;&lt;td&gt;7&lt;/td&gt;&lt;td&gt;0.28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54&lt;/td&gt;&lt;td&gt;1&lt;/td&gt;&lt;td&gt;1&lt;/td&gt;&lt;td&gt;1&lt;/td&gt;&lt;td&gt;0&lt;/td&gt;&lt;td&gt;0&lt;/td&gt;&lt;td&gt;0&lt;/td&gt;&lt;td&gt;0&lt;/td&gt;&lt;td&gt;1&lt;/td&gt;&lt;td&gt;4&lt;/td&gt;&lt;td&gt;0.07&lt;/td&gt;&lt;td&gt;9&lt;/td&gt;&lt;td&gt;0.17&lt;/td&gt;&lt;/tr&gt;</v>
      </c>
    </row>
    <row r="69" spans="1:23" x14ac:dyDescent="0.3">
      <c r="A69" t="str">
        <f>AT17</f>
        <v>&lt;tr&gt;&lt;td&gt;Carpenter&lt;/td&gt;&lt;td&gt;65&lt;/td&gt;&lt;td&gt;1&lt;/td&gt;&lt;td&gt;0&lt;/td&gt;&lt;td&gt;1&lt;/td&gt;&lt;td&gt;0&lt;/td&gt;&lt;td&gt;0&lt;/td&gt;&lt;td&gt;1&lt;/td&gt;&lt;td&gt;0&lt;/td&gt;&lt;td&gt;1&lt;/td&gt;&lt;td&gt;4&lt;/td&gt;&lt;td&gt;0.06&lt;/td&gt;&lt;td&gt;12&lt;/td&gt;&lt;td&gt;0.18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29&lt;/td&gt;&lt;td&gt;0&lt;/td&gt;&lt;td&gt;2&lt;/td&gt;&lt;td&gt;0&lt;/td&gt;&lt;td&gt;0&lt;/td&gt;&lt;td&gt;0&lt;/td&gt;&lt;td&gt;0&lt;/td&gt;&lt;td&gt;0&lt;/td&gt;&lt;td&gt;1&lt;/td&gt;&lt;td&gt;3&lt;/td&gt;&lt;td&gt;0.10&lt;/td&gt;&lt;td&gt;6&lt;/td&gt;&lt;td&gt;0.21&lt;/td&gt;&lt;/tr&gt;</v>
      </c>
    </row>
    <row r="72" spans="1:23" x14ac:dyDescent="0.3">
      <c r="A72" t="str">
        <f>AT6</f>
        <v>&lt;tr&gt;&lt;td&gt;Wistrom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69,</v>
      </c>
      <c r="B76" t="str">
        <f>"minutes: "&amp;$B$15&amp;","</f>
        <v>minutes: 90,</v>
      </c>
      <c r="C76" t="str">
        <f>"minutes: "&amp;$B$9&amp;","</f>
        <v>minutes: 82,</v>
      </c>
      <c r="D76" t="str">
        <f>"minutes: "&amp;$B$24&amp;","</f>
        <v>minutes: 75,</v>
      </c>
      <c r="E76" t="str">
        <f>"minutes: "&amp;$B$12&amp;","</f>
        <v>minutes: 74,</v>
      </c>
      <c r="F76" t="str">
        <f>"minutes: "&amp;$B$22&amp;","</f>
        <v>minutes: 90,</v>
      </c>
      <c r="G76" t="str">
        <f>"minutes: "&amp;$B$3&amp;","</f>
        <v>minutes: 7,</v>
      </c>
      <c r="H76" t="str">
        <f>"minutes: "&amp;$B$7&amp;","</f>
        <v>minutes: 82,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16,</v>
      </c>
      <c r="M76" t="str">
        <f>"minutes: "&amp;$B$21&amp;","</f>
        <v>minutes: 61,</v>
      </c>
      <c r="N76" t="str">
        <f>"minutes: "&amp;$B$11&amp;","</f>
        <v>minutes: 16,</v>
      </c>
      <c r="O76" t="str">
        <f>"minutes: "&amp;$B$13&amp;","</f>
        <v>minutes: 0,</v>
      </c>
      <c r="P76" t="str">
        <f>"minutes: "&amp;$B$5&amp;","</f>
        <v>minutes: 65,</v>
      </c>
      <c r="Q76" t="str">
        <f>"minutes: "&amp;$B$10&amp;","</f>
        <v>minutes: 25,</v>
      </c>
      <c r="R76" t="str">
        <f>"minutes: "&amp;$B$2&amp;","</f>
        <v>minutes: 0,</v>
      </c>
      <c r="S76" t="str">
        <f>"minutes: "&amp;$B$19&amp;","</f>
        <v>minutes: 54,</v>
      </c>
      <c r="T76" t="str">
        <f>"minutes: "&amp;$B$17&amp;","</f>
        <v>minutes: 65,</v>
      </c>
      <c r="U76" t="str">
        <f>"minutes: "&amp;$B$18&amp;","</f>
        <v>minutes: 0,</v>
      </c>
      <c r="V76" t="str">
        <f>"minutes: "&amp;$B$16&amp;","</f>
        <v>minutes: 29,</v>
      </c>
      <c r="W76" t="str">
        <f>"minutes: "&amp;$B$6&amp;","</f>
        <v>minutes: 0,</v>
      </c>
    </row>
    <row r="77" spans="1:23" x14ac:dyDescent="0.3">
      <c r="A77" t="str">
        <f>"totalActions: "&amp;$Z$4&amp;","</f>
        <v>totalActions: 19,</v>
      </c>
      <c r="B77" t="str">
        <f>"totalActions: "&amp;$Z$15&amp;","</f>
        <v>totalActions: 24,</v>
      </c>
      <c r="C77" t="str">
        <f>"totalActions: "&amp;$Z$9&amp;","</f>
        <v>totalActions: 33,</v>
      </c>
      <c r="D77" t="str">
        <f>"totalActions: "&amp;$Z$24&amp;","</f>
        <v>totalActions: 24,</v>
      </c>
      <c r="E77" t="str">
        <f>"totalActions: "&amp;$Z$12&amp;","</f>
        <v>totalActions: 20,</v>
      </c>
      <c r="F77" t="str">
        <f>"totalActions: "&amp;$Z$22&amp;","</f>
        <v>totalActions: 19,</v>
      </c>
      <c r="G77" t="str">
        <f>"totalActions: "&amp;$Z$3&amp;","</f>
        <v>totalActions: 1,</v>
      </c>
      <c r="H77" t="str">
        <f>"totalActions: "&amp;$Z$7&amp;","</f>
        <v>totalActions: 23,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2,</v>
      </c>
      <c r="M77" t="str">
        <f>"totalActions: "&amp;$Z$21&amp;","</f>
        <v>totalActions: 15,</v>
      </c>
      <c r="N77" t="str">
        <f>"totalActions: "&amp;$Z$11&amp;","</f>
        <v>totalActions: 5,</v>
      </c>
      <c r="O77" t="str">
        <f>"totalActions: "&amp;$Z$13&amp;","</f>
        <v>totalActions: 0,</v>
      </c>
      <c r="P77" t="str">
        <f>"totalActions: "&amp;$Z$5&amp;","</f>
        <v>totalActions: 31,</v>
      </c>
      <c r="Q77" t="str">
        <f>"totalActions: "&amp;$Z$10&amp;","</f>
        <v>totalActions: 7,</v>
      </c>
      <c r="R77" t="str">
        <f>"totalActions: "&amp;$Z$2&amp;","</f>
        <v>totalActions: 0,</v>
      </c>
      <c r="S77" t="str">
        <f>"totalActions: "&amp;$Z$19&amp;","</f>
        <v>totalActions: 9,</v>
      </c>
      <c r="T77" t="str">
        <f>"totalActions: "&amp;$Z$17&amp;","</f>
        <v>totalActions: 12,</v>
      </c>
      <c r="U77" t="str">
        <f>"totalActions: "&amp;$Z$18&amp;","</f>
        <v>totalActions: 0,</v>
      </c>
      <c r="V77" t="str">
        <f>"totalActions: "&amp;$Z$16&amp;","</f>
        <v>totalActions: 6,</v>
      </c>
      <c r="W77" t="str">
        <f>"totalActions: "&amp;$Z$6&amp;","</f>
        <v>totalActions: 0,</v>
      </c>
    </row>
    <row r="78" spans="1:23" x14ac:dyDescent="0.3">
      <c r="A78" t="str">
        <f>"actionsPerMinute: "&amp;TEXT($AA$4,"0.00")&amp;","</f>
        <v>actionsPerMinute: 0.28,</v>
      </c>
      <c r="B78" t="str">
        <f>"actionsPerMinute: "&amp;TEXT($AA$15,"0.00")&amp;","</f>
        <v>actionsPerMinute: 0.27,</v>
      </c>
      <c r="C78" t="str">
        <f>"actionsPerMinute: "&amp;TEXT($AA$9,"0.00")&amp;","</f>
        <v>actionsPerMinute: 0.40,</v>
      </c>
      <c r="D78" t="str">
        <f>"actionsPerMinute: "&amp;TEXT($AA$24,"0.00")&amp;","</f>
        <v>actionsPerMinute: 0.32,</v>
      </c>
      <c r="E78" t="str">
        <f>"actionsPerMinute: "&amp;TEXT($AA$12,"0.00")&amp;","</f>
        <v>actionsPerMinute: 0.27,</v>
      </c>
      <c r="F78" t="str">
        <f>"actionsPerMinute: "&amp;TEXT($AA$22,"0.00")&amp;","</f>
        <v>actionsPerMinute: 0.21,</v>
      </c>
      <c r="G78" t="str">
        <f>"actionsPerMinute: "&amp;TEXT($AA$3,"0.00")&amp;","</f>
        <v>actionsPerMinute: 0.14,</v>
      </c>
      <c r="H78" t="str">
        <f>"actionsPerMinute: "&amp;TEXT($AA$7,"0.00")&amp;","</f>
        <v>actionsPerMinute: 0.28,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0.13,</v>
      </c>
      <c r="M78" t="str">
        <f>"actionsPerMinute: "&amp;TEXT($AA$21,"0.00")&amp;","</f>
        <v>actionsPerMinute: 0.25,</v>
      </c>
      <c r="N78" t="str">
        <f>"actionsPerMinute: "&amp;TEXT($AA$11,"0.00")&amp;","</f>
        <v>actionsPerMinute: 0.31,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0.48,</v>
      </c>
      <c r="Q78" t="str">
        <f>"actionsPerMinute: "&amp;TEXT($AA$10,"0.00")&amp;","</f>
        <v>actionsPerMinute: 0.28,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0.17,</v>
      </c>
      <c r="T78" t="str">
        <f>"actionsPerMinute: "&amp;TEXT($AA$17,"0.00")&amp;","</f>
        <v>actionsPerMinute: 0.18,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0.21,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12,</v>
      </c>
      <c r="B81" t="str">
        <f>"totalActions: "&amp;$N$15&amp;","</f>
        <v>totalActions: 2,</v>
      </c>
      <c r="C81" t="str">
        <f>"totalActions: "&amp;$N$9&amp;","</f>
        <v>totalActions: 12,</v>
      </c>
      <c r="D81" t="str">
        <f>"totalActions: "&amp;$N$24&amp;","</f>
        <v>totalActions: 7,</v>
      </c>
      <c r="E81" t="str">
        <f>"totalActions: "&amp;$N$12&amp;","</f>
        <v>totalActions: 5,</v>
      </c>
      <c r="F81" t="str">
        <f>"totalActions: "&amp;$N$22&amp;","</f>
        <v>totalActions: 1,</v>
      </c>
      <c r="G81" t="str">
        <f>"totalActions: "&amp;$N$3&amp;","</f>
        <v>totalActions: 0,</v>
      </c>
      <c r="H81" t="str">
        <f>"totalActions: "&amp;$N$7&amp;","</f>
        <v>totalActions: 5,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0,</v>
      </c>
      <c r="M81" t="str">
        <f>"totalActions: "&amp;$N$21&amp;","</f>
        <v>totalActions: 4,</v>
      </c>
      <c r="N81" t="str">
        <f>"totalActions: "&amp;$N$11&amp;","</f>
        <v>totalActions: 1,</v>
      </c>
      <c r="O81" t="str">
        <f>"totalActions: "&amp;$N$13&amp;","</f>
        <v>totalActions: 0,</v>
      </c>
      <c r="P81" t="str">
        <f>"totalActions: "&amp;$N$5&amp;","</f>
        <v>totalActions: 16,</v>
      </c>
      <c r="Q81" t="str">
        <f>"totalActions: "&amp;$N$10&amp;","</f>
        <v>totalActions: 3,</v>
      </c>
      <c r="R81" t="str">
        <f>"totalActions: "&amp;$N$2&amp;","</f>
        <v>totalActions: 0,</v>
      </c>
      <c r="S81" t="str">
        <f>"totalActions: "&amp;$N$19&amp;","</f>
        <v>totalActions: 5,</v>
      </c>
      <c r="T81" t="str">
        <f>"totalActions: "&amp;$N$17&amp;","</f>
        <v>totalActions: 8,</v>
      </c>
      <c r="U81" t="str">
        <f>"totalActions: "&amp;$N$18&amp;","</f>
        <v>totalActions: 0,</v>
      </c>
      <c r="V81" t="str">
        <f>"totalActions: "&amp;$N$16&amp;","</f>
        <v>totalActions: 3,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0.17,</v>
      </c>
      <c r="B82" t="str">
        <f>"actionsPerMinute: "&amp;TEXT($O$15,"0.00")&amp;","</f>
        <v>actionsPerMinute: 0.02,</v>
      </c>
      <c r="C82" t="str">
        <f>"actionsPerMinute: "&amp;TEXT($O$9,"0.00")&amp;","</f>
        <v>actionsPerMinute: 0.15,</v>
      </c>
      <c r="D82" t="str">
        <f>"actionsPerMinute: "&amp;TEXT($O$24,"0.00")&amp;","</f>
        <v>actionsPerMinute: 0.09,</v>
      </c>
      <c r="E82" t="str">
        <f>"actionsPerMinute: "&amp;TEXT($O$12,"0.00")&amp;","</f>
        <v>actionsPerMinute: 0.07,</v>
      </c>
      <c r="F82" t="str">
        <f>"actionsPerMinute: "&amp;TEXT($O$22,"0.00")&amp;","</f>
        <v>actionsPerMinute: 0.01,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0.06,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0.07,</v>
      </c>
      <c r="N82" t="str">
        <f>"actionsPerMinute: "&amp;TEXT($O$11,"0.00")&amp;","</f>
        <v>actionsPerMinute: 0.06,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0.25,</v>
      </c>
      <c r="Q82" t="str">
        <f>"actionsPerMinute: "&amp;TEXT($O$10,"0.00")&amp;","</f>
        <v>actionsPerMinute: 0.12,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0.09,</v>
      </c>
      <c r="T82" t="str">
        <f>"actionsPerMinute: "&amp;TEXT($O$17,"0.00")&amp;","</f>
        <v>actionsPerMinute: 0.12,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0.10,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1,</v>
      </c>
      <c r="B83" t="str">
        <f>"goals: "&amp;$C$15&amp;","</f>
        <v>goals: 0,</v>
      </c>
      <c r="C83" t="str">
        <f>"goals: "&amp;$C$9&amp;","</f>
        <v>goals: 1,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0,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0,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0,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1,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1,</v>
      </c>
      <c r="E86" t="str">
        <f>"outplayFwd: "&amp;$G$12&amp;","</f>
        <v>outplayFwd: 1,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0,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0,</v>
      </c>
      <c r="Q86" t="str">
        <f>"outplayFwd: "&amp;$G$10&amp;","</f>
        <v>outplayFwd: 1,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0,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0,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4,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0,</v>
      </c>
      <c r="T87" t="str">
        <f>"effectiveCrosses: "&amp;$H$17&amp;","</f>
        <v>effectiveCrosses: 2,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2,</v>
      </c>
      <c r="B88" t="str">
        <f>"oneVOnes: "&amp;$I$15&amp;","</f>
        <v>oneVOnes: 0,</v>
      </c>
      <c r="C88" t="str">
        <f>"oneVOnes: "&amp;$I$9&amp;","</f>
        <v>oneVOnes: 1,</v>
      </c>
      <c r="D88" t="str">
        <f>"oneVOnes: "&amp;$I$24&amp;","</f>
        <v>oneVOnes: 3,</v>
      </c>
      <c r="E88" t="str">
        <f>"oneVOnes: "&amp;$I$12&amp;","</f>
        <v>oneVOnes: 0,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0,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0,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3,</v>
      </c>
      <c r="Q88" t="str">
        <f>"oneVOnes: "&amp;$I$10&amp;","</f>
        <v>oneVOnes: 0,</v>
      </c>
      <c r="R88" t="str">
        <f>"oneVOnes: "&amp;$I$2&amp;","</f>
        <v>oneVOnes: 0,</v>
      </c>
      <c r="S88" t="str">
        <f>"oneVOnes: "&amp;$I$19&amp;","</f>
        <v>oneVOnes: 1,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0,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1,</v>
      </c>
      <c r="B89" t="str">
        <f>"headers: "&amp;$J$15&amp;","</f>
        <v>headers: 0,</v>
      </c>
      <c r="C89" t="str">
        <f>"headers: "&amp;$J$9&amp;","</f>
        <v>headers: 1,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0,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0,</v>
      </c>
      <c r="N89" t="str">
        <f>"headers: "&amp;$J$11&amp;","</f>
        <v>headers: 1,</v>
      </c>
      <c r="O89" t="str">
        <f>"headers: "&amp;$J$13&amp;","</f>
        <v>headers: 0,</v>
      </c>
      <c r="P89" t="str">
        <f>"headers: "&amp;$J$5&amp;","</f>
        <v>headers: 2,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1,</v>
      </c>
      <c r="T89" t="str">
        <f>"headers: "&amp;$J$17&amp;","</f>
        <v>headers: 2,</v>
      </c>
      <c r="U89" t="str">
        <f>"headers: "&amp;$J$18&amp;","</f>
        <v>headers: 0,</v>
      </c>
      <c r="V89" t="str">
        <f>"headers: "&amp;$J$16&amp;","</f>
        <v>headers: 1,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1,</v>
      </c>
      <c r="B90" t="str">
        <f>"spEarned: "&amp;$K$15&amp;","</f>
        <v>spEarned: 0,</v>
      </c>
      <c r="C90" t="str">
        <f>"spEarned: "&amp;$K$9&amp;","</f>
        <v>spEarned: 2,</v>
      </c>
      <c r="D90" t="str">
        <f>"spEarned: "&amp;$K$24&amp;","</f>
        <v>spEarned: 0,</v>
      </c>
      <c r="E90" t="str">
        <f>"spEarned: "&amp;$K$12&amp;","</f>
        <v>spEarned: 1,</v>
      </c>
      <c r="F90" t="str">
        <f>"spEarned: "&amp;$K$22&amp;","</f>
        <v>spEarned: 0,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0,</v>
      </c>
      <c r="M90" t="str">
        <f>"spEarned: "&amp;$K$21&amp;","</f>
        <v>spEarned: 0,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2,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1,</v>
      </c>
      <c r="T90" t="str">
        <f>"spEarned: "&amp;$K$17&amp;","</f>
        <v>spEarned: 0,</v>
      </c>
      <c r="U90" t="str">
        <f>"spEarned: "&amp;$K$18&amp;","</f>
        <v>spEarned: 0,</v>
      </c>
      <c r="V90" t="str">
        <f>"spEarned: "&amp;$K$16&amp;","</f>
        <v>spEarned: 0,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1,</v>
      </c>
      <c r="B91" t="str">
        <f>"onTargetShots: "&amp;$M$15&amp;","</f>
        <v>onTargetShots: 1,</v>
      </c>
      <c r="C91" t="str">
        <f>"onTargetShots: "&amp;$M$9&amp;","</f>
        <v>onTargetShots: 1,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0,</v>
      </c>
      <c r="G91" t="str">
        <f>"onTargetShots: "&amp;$M$3&amp;","</f>
        <v>onTargetShots: 0,</v>
      </c>
      <c r="H91" t="str">
        <f>"onTargetShots: "&amp;$M$7&amp;","</f>
        <v>onTargetShots: 1,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0,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1,</v>
      </c>
      <c r="B92" t="str">
        <f>"offTargetShots: "&amp;$L$15&amp;","</f>
        <v>offTargetShots: 0,</v>
      </c>
      <c r="C92" t="str">
        <f>"offTargetShots: "&amp;$L$9&amp;","</f>
        <v>offTargetShots: 1,</v>
      </c>
      <c r="D92" t="str">
        <f>"offTargetShots: "&amp;$L$24&amp;","</f>
        <v>offTargetShots: 3,</v>
      </c>
      <c r="E92" t="str">
        <f>"offTargetShots: "&amp;$L$12&amp;","</f>
        <v>offTargetShots: 0,</v>
      </c>
      <c r="F92" t="str">
        <f>"offTargetShots: "&amp;$L$22&amp;","</f>
        <v>offTargetShots: 0,</v>
      </c>
      <c r="G92" t="str">
        <f>"offTargetShots: "&amp;$L$3&amp;","</f>
        <v>offTargetShots: 0,</v>
      </c>
      <c r="H92" t="str">
        <f>"offTargetShots: "&amp;$L$7&amp;","</f>
        <v>offTargetShots: 0,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1,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1,</v>
      </c>
      <c r="R92" t="str">
        <f>"offTargetShots: "&amp;$L$2&amp;","</f>
        <v>offTargetShots: 0,</v>
      </c>
      <c r="S92" t="str">
        <f>"offTargetShots: "&amp;$L$19&amp;","</f>
        <v>offTargetShots: 1,</v>
      </c>
      <c r="T92" t="str">
        <f>"offTargetShots: "&amp;$L$17&amp;","</f>
        <v>offTargetShots: 1,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7,</v>
      </c>
      <c r="B96" t="str">
        <f>"totalActions: "&amp;$X$15&amp;","</f>
        <v>totalActions: 22,</v>
      </c>
      <c r="C96" t="str">
        <f>"totalActions: "&amp;$X$9&amp;","</f>
        <v>totalActions: 21,</v>
      </c>
      <c r="D96" t="str">
        <f>"totalActions: "&amp;$X$24&amp;","</f>
        <v>totalActions: 17,</v>
      </c>
      <c r="E96" t="str">
        <f>"totalActions: "&amp;$X$12&amp;","</f>
        <v>totalActions: 15,</v>
      </c>
      <c r="F96" t="str">
        <f>"totalActions: "&amp;$X$22&amp;","</f>
        <v>totalActions: 18,</v>
      </c>
      <c r="G96" t="str">
        <f>"totalActions: "&amp;$X$3&amp;","</f>
        <v>totalActions: 1,</v>
      </c>
      <c r="H96" t="str">
        <f>"totalActions: "&amp;$X$7&amp;","</f>
        <v>totalActions: 18,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2,</v>
      </c>
      <c r="M96" t="str">
        <f>"totalActions: "&amp;$X$21&amp;","</f>
        <v>totalActions: 11,</v>
      </c>
      <c r="N96" t="str">
        <f>"totalActions: "&amp;$X$11&amp;","</f>
        <v>totalActions: 4,</v>
      </c>
      <c r="O96" t="str">
        <f>"totalActions: "&amp;$X$13&amp;","</f>
        <v>totalActions: 0,</v>
      </c>
      <c r="P96" t="str">
        <f>"totalActions: "&amp;$X$5&amp;","</f>
        <v>totalActions: 15,</v>
      </c>
      <c r="Q96" t="str">
        <f>"totalActions: "&amp;$X$10&amp;","</f>
        <v>totalActions: 4,</v>
      </c>
      <c r="R96" t="str">
        <f>"totalActions: "&amp;$X$2&amp;","</f>
        <v>totalActions: 0,</v>
      </c>
      <c r="S96" t="str">
        <f>"totalActions: "&amp;$X$19&amp;","</f>
        <v>totalActions: 4,</v>
      </c>
      <c r="T96" t="str">
        <f>"totalActions: "&amp;$X$17&amp;","</f>
        <v>totalActions: 4,</v>
      </c>
      <c r="U96" t="str">
        <f>"totalActions: "&amp;$X$18&amp;","</f>
        <v>totalActions: 0,</v>
      </c>
      <c r="V96" t="str">
        <f>"totalActions: "&amp;$X$16&amp;","</f>
        <v>totalActions: 3,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0.10,</v>
      </c>
      <c r="B97" t="str">
        <f>"actionsPerMinute: "&amp;TEXT($Y$15,"0.00")&amp;","</f>
        <v>actionsPerMinute: 0.24,</v>
      </c>
      <c r="C97" t="str">
        <f>"actionsPerMinute: "&amp;TEXT($Y$9,"0.00")&amp;","</f>
        <v>actionsPerMinute: 0.26,</v>
      </c>
      <c r="D97" t="str">
        <f>"actionsPerMinute: "&amp;TEXT($Y$24,"0.00")&amp;","</f>
        <v>actionsPerMinute: 0.23,</v>
      </c>
      <c r="E97" t="str">
        <f>"actionsPerMinute: "&amp;TEXT($Y$12,"0.00")&amp;","</f>
        <v>actionsPerMinute: 0.20,</v>
      </c>
      <c r="F97" t="str">
        <f>"actionsPerMinute: "&amp;TEXT($Y$22,"0.00")&amp;","</f>
        <v>actionsPerMinute: 0.20,</v>
      </c>
      <c r="G97" t="str">
        <f>"actionsPerMinute: "&amp;TEXT($Y$3,"0.00")&amp;","</f>
        <v>actionsPerMinute: 0.14,</v>
      </c>
      <c r="H97" t="str">
        <f>"actionsPerMinute: "&amp;TEXT($Y$7,"0.00")&amp;","</f>
        <v>actionsPerMinute: 0.22,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0.13,</v>
      </c>
      <c r="M97" t="str">
        <f>"actionsPerMinute: "&amp;TEXT($Y$21,"0.00")&amp;","</f>
        <v>actionsPerMinute: 0.18,</v>
      </c>
      <c r="N97" t="str">
        <f>"actionsPerMinute: "&amp;TEXT($Y$11,"0.00")&amp;","</f>
        <v>actionsPerMinute: 0.25,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0.23,</v>
      </c>
      <c r="Q97" t="str">
        <f>"actionsPerMinute: "&amp;TEXT($Y$10,"0.00")&amp;","</f>
        <v>actionsPerMinute: 0.16,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0.07,</v>
      </c>
      <c r="T97" t="str">
        <f>"actionsPerMinute: "&amp;TEXT($Y$17,"0.00")&amp;","</f>
        <v>actionsPerMinute: 0.06,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0.10,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1,</v>
      </c>
      <c r="B98" t="str">
        <f>"tackles: "&amp;$P$15&amp;","</f>
        <v>tackles: 3,</v>
      </c>
      <c r="C98" t="str">
        <f>"tackles: "&amp;$P$9&amp;","</f>
        <v>tackles: 2,</v>
      </c>
      <c r="D98" t="str">
        <f>"tackles: "&amp;$P$24&amp;","</f>
        <v>tackles: 2,</v>
      </c>
      <c r="E98" t="str">
        <f>"tackles: "&amp;$P$12&amp;","</f>
        <v>tackles: 3,</v>
      </c>
      <c r="F98" t="str">
        <f>"tackles: "&amp;$P$22&amp;","</f>
        <v>tackles: 1,</v>
      </c>
      <c r="G98" t="str">
        <f>"tackles: "&amp;$P$3&amp;","</f>
        <v>tackles: 1,</v>
      </c>
      <c r="H98" t="str">
        <f>"tackles: "&amp;$P$7&amp;","</f>
        <v>tackles: 2,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0,</v>
      </c>
      <c r="N98" t="str">
        <f>"tackles: "&amp;$P$11&amp;","</f>
        <v>tackles: 1,</v>
      </c>
      <c r="O98" t="str">
        <f>"tackles: "&amp;$P$13&amp;","</f>
        <v>tackles: 0,</v>
      </c>
      <c r="P98" t="str">
        <f>"tackles: "&amp;$P$5&amp;","</f>
        <v>tackles: 1,</v>
      </c>
      <c r="Q98" t="str">
        <f>"tackles: "&amp;$P$10&amp;","</f>
        <v>tackles: 0,</v>
      </c>
      <c r="R98" t="str">
        <f>"tackles: "&amp;$P$2&amp;","</f>
        <v>tackles: 0,</v>
      </c>
      <c r="S98" t="str">
        <f>"tackles: "&amp;$P$19&amp;","</f>
        <v>tackles: 1,</v>
      </c>
      <c r="T98" t="str">
        <f>"tackles: "&amp;$P$17&amp;","</f>
        <v>tackles: 1,</v>
      </c>
      <c r="U98" t="str">
        <f>"tackles: "&amp;$P$18&amp;","</f>
        <v>tackles: 0,</v>
      </c>
      <c r="V98" t="str">
        <f>"tackles: "&amp;$P$16&amp;","</f>
        <v>tackles: 0,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3,</v>
      </c>
      <c r="B99" t="str">
        <f>"interceptions: "&amp;$Q$15&amp;","</f>
        <v>interceptions: 4,</v>
      </c>
      <c r="C99" t="str">
        <f>"interceptions: "&amp;$Q$9&amp;","</f>
        <v>interceptions: 6,</v>
      </c>
      <c r="D99" t="str">
        <f>"interceptions: "&amp;$Q$24&amp;","</f>
        <v>interceptions: 6,</v>
      </c>
      <c r="E99" t="str">
        <f>"interceptions: "&amp;$Q$12&amp;","</f>
        <v>interceptions: 5,</v>
      </c>
      <c r="F99" t="str">
        <f>"interceptions: "&amp;$Q$22&amp;","</f>
        <v>interceptions: 2,</v>
      </c>
      <c r="G99" t="str">
        <f>"interceptions: "&amp;$Q$3&amp;","</f>
        <v>interceptions: 0,</v>
      </c>
      <c r="H99" t="str">
        <f>"interceptions: "&amp;$Q$7&amp;","</f>
        <v>interceptions: 3,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0,</v>
      </c>
      <c r="M99" t="str">
        <f>"interceptions: "&amp;$Q$21&amp;","</f>
        <v>interceptions: 5,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2,</v>
      </c>
      <c r="Q99" t="str">
        <f>"interceptions: "&amp;$Q$10&amp;","</f>
        <v>interceptions: 1,</v>
      </c>
      <c r="R99" t="str">
        <f>"interceptions: "&amp;$Q$2&amp;","</f>
        <v>interceptions: 0,</v>
      </c>
      <c r="S99" t="str">
        <f>"interceptions: "&amp;$Q$19&amp;","</f>
        <v>interceptions: 1,</v>
      </c>
      <c r="T99" t="str">
        <f>"interceptions: "&amp;$Q$17&amp;","</f>
        <v>interceptions: 0,</v>
      </c>
      <c r="U99" t="str">
        <f>"interceptions: "&amp;$Q$18&amp;","</f>
        <v>interceptions: 0,</v>
      </c>
      <c r="V99" t="str">
        <f>"interceptions: "&amp;$Q$16&amp;","</f>
        <v>interceptions: 2,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0,</v>
      </c>
      <c r="B100" t="str">
        <f>"fhRegains: "&amp;$R$15&amp;","</f>
        <v>fhRegains: 0,</v>
      </c>
      <c r="C100" t="str">
        <f>"fhRegains: "&amp;$R$9&amp;","</f>
        <v>fhRegains: 1,</v>
      </c>
      <c r="D100" t="str">
        <f>"fhRegains: "&amp;$R$24&amp;","</f>
        <v>fhRegains: 1,</v>
      </c>
      <c r="E100" t="str">
        <f>"fhRegains: "&amp;$R$12&amp;","</f>
        <v>fhRegains: 2,</v>
      </c>
      <c r="F100" t="str">
        <f>"fhRegains: "&amp;$R$22&amp;","</f>
        <v>fhRegains: 1,</v>
      </c>
      <c r="G100" t="str">
        <f>"fhRegains: "&amp;$R$3&amp;","</f>
        <v>fhRegains: 0,</v>
      </c>
      <c r="H100" t="str">
        <f>"fhRegains: "&amp;$R$7&amp;","</f>
        <v>fhRegains: 0,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1,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2,</v>
      </c>
      <c r="Q100" t="str">
        <f>"fhRegains: "&amp;$R$10&amp;","</f>
        <v>fhRegains: 1,</v>
      </c>
      <c r="R100" t="str">
        <f>"fhRegains: "&amp;$R$2&amp;","</f>
        <v>fhRegains: 0,</v>
      </c>
      <c r="S100" t="str">
        <f>"fhRegains: "&amp;$R$19&amp;","</f>
        <v>fhRegains: 1,</v>
      </c>
      <c r="T100" t="str">
        <f>"fhRegains: "&amp;$R$17&amp;","</f>
        <v>fhRegains: 1,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3,</v>
      </c>
      <c r="C101" t="str">
        <f>"blocks: "&amp;$S$9&amp;","</f>
        <v>blocks: 0,</v>
      </c>
      <c r="D101" t="str">
        <f>"blocks: "&amp;$S$24&amp;","</f>
        <v>blocks: 1,</v>
      </c>
      <c r="E101" t="str">
        <f>"blocks: "&amp;$S$12&amp;","</f>
        <v>blocks: 0,</v>
      </c>
      <c r="F101" t="str">
        <f>"blocks: "&amp;$S$22&amp;","</f>
        <v>blocks: 1,</v>
      </c>
      <c r="G101" t="str">
        <f>"blocks: "&amp;$S$3&amp;","</f>
        <v>blocks: 0,</v>
      </c>
      <c r="H101" t="str">
        <f>"blocks: "&amp;$S$7&amp;","</f>
        <v>blocks: 1,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0,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0,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0,</v>
      </c>
      <c r="C102" t="str">
        <f>"clearances: "&amp;$T$9&amp;","</f>
        <v>clearances: 1,</v>
      </c>
      <c r="D102" t="str">
        <f>"clearances: "&amp;$T$24&amp;","</f>
        <v>clearances: 1,</v>
      </c>
      <c r="E102" t="str">
        <f>"clearances: "&amp;$T$12&amp;","</f>
        <v>clearances: 0,</v>
      </c>
      <c r="F102" t="str">
        <f>"clearances: "&amp;$T$22&amp;","</f>
        <v>clearances: 2,</v>
      </c>
      <c r="G102" t="str">
        <f>"clearances: "&amp;$T$3&amp;","</f>
        <v>clearances: 0,</v>
      </c>
      <c r="H102" t="str">
        <f>"clearances: "&amp;$T$7&amp;","</f>
        <v>clearances: 3,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4,</v>
      </c>
      <c r="M102" t="str">
        <f>"clearances: "&amp;$T$21&amp;","</f>
        <v>clearances: 0,</v>
      </c>
      <c r="N102" t="str">
        <f>"clearances: "&amp;$T$11&amp;","</f>
        <v>clearances: 0,</v>
      </c>
      <c r="O102" t="str">
        <f>"clearances: "&amp;$T$13&amp;","</f>
        <v>clearances: 0,</v>
      </c>
      <c r="P102" t="str">
        <f>"clearances: "&amp;$T$5&amp;","</f>
        <v>clearances: 3,</v>
      </c>
      <c r="Q102" t="str">
        <f>"clearances: "&amp;$T$10&amp;","</f>
        <v>clearances: 0,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1,</v>
      </c>
      <c r="B103" t="str">
        <f>"separations: "&amp;$U$15&amp;","</f>
        <v>separations: 0,</v>
      </c>
      <c r="C103" t="str">
        <f>"separations: "&amp;$U$9&amp;","</f>
        <v>separations: 3,</v>
      </c>
      <c r="D103" t="str">
        <f>"separations: "&amp;$U$24&amp;","</f>
        <v>separations: 0,</v>
      </c>
      <c r="E103" t="str">
        <f>"separations: "&amp;$U$12&amp;","</f>
        <v>separations: 2,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0,</v>
      </c>
      <c r="M103" t="str">
        <f>"separations: "&amp;$U$21&amp;","</f>
        <v>separations: 1,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2,</v>
      </c>
      <c r="Q103" t="str">
        <f>"separations: "&amp;$U$10&amp;","</f>
        <v>separations: 0,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1,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0,</v>
      </c>
      <c r="B104" t="str">
        <f>"headers: "&amp;$V$15&amp;","</f>
        <v>headers: 0,</v>
      </c>
      <c r="C104" t="str">
        <f>"headers: "&amp;$V$9&amp;","</f>
        <v>headers: 4,</v>
      </c>
      <c r="D104" t="str">
        <f>"headers: "&amp;$V$24&amp;","</f>
        <v>headers: 2,</v>
      </c>
      <c r="E104" t="str">
        <f>"headers: "&amp;$V$12&amp;","</f>
        <v>headers: 0,</v>
      </c>
      <c r="F104" t="str">
        <f>"headers: "&amp;$V$22&amp;","</f>
        <v>headers: 5,</v>
      </c>
      <c r="G104" t="str">
        <f>"headers: "&amp;$V$3&amp;","</f>
        <v>headers: 0,</v>
      </c>
      <c r="H104" t="str">
        <f>"headers: "&amp;$V$7&amp;","</f>
        <v>headers: 5,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3,</v>
      </c>
      <c r="M104" t="str">
        <f>"headers: "&amp;$V$21&amp;","</f>
        <v>headers: 1,</v>
      </c>
      <c r="N104" t="str">
        <f>"headers: "&amp;$V$11&amp;","</f>
        <v>headers: 1,</v>
      </c>
      <c r="O104" t="str">
        <f>"headers: "&amp;$V$13&amp;","</f>
        <v>headers: 0,</v>
      </c>
      <c r="P104" t="str">
        <f>"headers: "&amp;$V$5&amp;","</f>
        <v>headers: 1,</v>
      </c>
      <c r="Q104" t="str">
        <f>"headers: "&amp;$V$10&amp;","</f>
        <v>headers: 0,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0,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2,</v>
      </c>
      <c r="B105" t="str">
        <f>"stopForwardCA: "&amp;$W$15&amp;","</f>
        <v>stopForwardCA: 5,</v>
      </c>
      <c r="C105" t="str">
        <f>"stopForwardCA: "&amp;$W$9&amp;","</f>
        <v>stopForwardCA: 4,</v>
      </c>
      <c r="D105" t="str">
        <f>"stopForwardCA: "&amp;$W$24&amp;","</f>
        <v>stopForwardCA: 4,</v>
      </c>
      <c r="E105" t="str">
        <f>"stopForwardCA: "&amp;$W$12&amp;","</f>
        <v>stopForwardCA: 3,</v>
      </c>
      <c r="F105" t="str">
        <f>"stopForwardCA: "&amp;$W$22&amp;","</f>
        <v>stopForwardCA: 6,</v>
      </c>
      <c r="G105" t="str">
        <f>"stopForwardCA: "&amp;$W$3&amp;","</f>
        <v>stopForwardCA: 0,</v>
      </c>
      <c r="H105" t="str">
        <f>"stopForwardCA: "&amp;$W$7&amp;","</f>
        <v>stopForwardCA: 4,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1,</v>
      </c>
      <c r="M105" t="str">
        <f>"stopForwardCA: "&amp;$W$21&amp;","</f>
        <v>stopForwardCA: 3,</v>
      </c>
      <c r="N105" t="str">
        <f>"stopForwardCA: "&amp;$W$11&amp;","</f>
        <v>stopForwardCA: 2,</v>
      </c>
      <c r="O105" t="str">
        <f>"stopForwardCA: "&amp;$W$13&amp;","</f>
        <v>stopForwardCA: 0,</v>
      </c>
      <c r="P105" t="str">
        <f>"stopForwardCA: "&amp;$W$5&amp;","</f>
        <v>stopForwardCA: 4,</v>
      </c>
      <c r="Q105" t="str">
        <f>"stopForwardCA: "&amp;$W$10&amp;","</f>
        <v>stopForwardCA: 2,</v>
      </c>
      <c r="R105" t="str">
        <f>"stopForwardCA: "&amp;$W$2&amp;","</f>
        <v>stopForwardCA: 0,</v>
      </c>
      <c r="S105" t="str">
        <f>"stopForwardCA: "&amp;$W$19&amp;","</f>
        <v>stopForwardCA: 1,</v>
      </c>
      <c r="T105" t="str">
        <f>"stopForwardCA: "&amp;$W$17&amp;","</f>
        <v>stopForwardCA: 1,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69,</v>
      </c>
      <c r="B109" t="str">
        <f>"minutes: "&amp;B$15&amp;","</f>
        <v>minutes: 90,</v>
      </c>
      <c r="C109" t="str">
        <f>"minutes: "&amp;B$9&amp;","</f>
        <v>minutes: 82,</v>
      </c>
      <c r="D109" t="str">
        <f>"minutes: "&amp;B$24&amp;","</f>
        <v>minutes: 75,</v>
      </c>
      <c r="E109" t="str">
        <f>"minutes: "&amp;B$12&amp;","</f>
        <v>minutes: 74,</v>
      </c>
      <c r="F109" t="str">
        <f>"minutes: "&amp;B$22&amp;","</f>
        <v>minutes: 90,</v>
      </c>
      <c r="G109" t="str">
        <f>"minutes: "&amp;B$3&amp;","</f>
        <v>minutes: 7,</v>
      </c>
      <c r="H109" t="str">
        <f>"minutes: "&amp;B$7&amp;","</f>
        <v>minutes: 82,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16,</v>
      </c>
      <c r="M109" t="str">
        <f>"minutes: "&amp;B$21&amp;","</f>
        <v>minutes: 61,</v>
      </c>
      <c r="N109" t="str">
        <f>"minutes: "&amp;B$11&amp;","</f>
        <v>minutes: 16,</v>
      </c>
      <c r="O109" t="str">
        <f>"minutes: "&amp;B$13&amp;","</f>
        <v>minutes: 0,</v>
      </c>
      <c r="P109" t="str">
        <f>"minutes: "&amp;B$5&amp;","</f>
        <v>minutes: 65,</v>
      </c>
      <c r="Q109" t="str">
        <f>"minutes: "&amp;B$10&amp;","</f>
        <v>minutes: 25,</v>
      </c>
      <c r="R109" t="str">
        <f>"minutes: "&amp;B$2&amp;","</f>
        <v>minutes: 0,</v>
      </c>
      <c r="S109" t="str">
        <f>"minutes: "&amp;B$19&amp;","</f>
        <v>minutes: 54,</v>
      </c>
      <c r="T109" t="str">
        <f>"minutes: "&amp;B$17&amp;","</f>
        <v>minutes: 65,</v>
      </c>
      <c r="U109" t="str">
        <f>"minutes: "&amp;B$18&amp;","</f>
        <v>minutes: 0,</v>
      </c>
      <c r="V109" t="str">
        <f>"minutes: "&amp;B$16&amp;","</f>
        <v>minutes: 29,</v>
      </c>
      <c r="W109" t="str">
        <f>"minutes: "&amp;B$6&amp;","</f>
        <v>minutes: 0,</v>
      </c>
    </row>
    <row r="110" spans="1:23" x14ac:dyDescent="0.3">
      <c r="A110" t="str">
        <f>"goals: "&amp;$C$4&amp;","</f>
        <v>goals: 1,</v>
      </c>
      <c r="B110" t="str">
        <f>"goals: "&amp;$C$15&amp;","</f>
        <v>goals: 0,</v>
      </c>
      <c r="C110" t="str">
        <f>"goals: "&amp;$C$9&amp;","</f>
        <v>goals: 1,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0,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0,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0,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5,</v>
      </c>
      <c r="B113" t="str">
        <f>"startCA: "&amp;$F$15&amp;","</f>
        <v>startCA: 1,</v>
      </c>
      <c r="C113" t="str">
        <f>"startCA: "&amp;$F$9&amp;","</f>
        <v>startCA: 5,</v>
      </c>
      <c r="D113" t="str">
        <f>"startCA: "&amp;$F$24&amp;","</f>
        <v>startCA: 1,</v>
      </c>
      <c r="E113" t="str">
        <f>"startCA: "&amp;$F$12&amp;","</f>
        <v>startCA: 4,</v>
      </c>
      <c r="F113" t="str">
        <f>"startCA: "&amp;$F$22&amp;","</f>
        <v>startCA: 1,</v>
      </c>
      <c r="G113" t="str">
        <f>"startCA: "&amp;$F$3&amp;","</f>
        <v>startCA: 0,</v>
      </c>
      <c r="H113" t="str">
        <f>"startCA: "&amp;$F$7&amp;","</f>
        <v>startCA: 4,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0,</v>
      </c>
      <c r="M113" t="str">
        <f>"startCA: "&amp;$F$21&amp;","</f>
        <v>startCA: 3,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5,</v>
      </c>
      <c r="Q113" t="str">
        <f>"startCA: "&amp;$F$10&amp;","</f>
        <v>startCA: 1,</v>
      </c>
      <c r="R113" t="str">
        <f>"startCA: "&amp;$F$2&amp;","</f>
        <v>startCA: 0,</v>
      </c>
      <c r="S113" t="str">
        <f>"startCA: "&amp;$F$19&amp;","</f>
        <v>startCA: 1,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2,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1,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1,</v>
      </c>
      <c r="E114" t="str">
        <f>"outplayFWD: "&amp;$G$12&amp;","</f>
        <v>outplayFWD: 1,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0,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0,</v>
      </c>
      <c r="Q114" t="str">
        <f>"outplayFWD: "&amp;$G$10&amp;","</f>
        <v>outplayFWD: 1,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0,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0,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4,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0,</v>
      </c>
      <c r="T115" t="str">
        <f>"effCrosses: "&amp;$H$17&amp;","</f>
        <v>effCrosses: 2,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2,</v>
      </c>
      <c r="B116" t="str">
        <f>"oneVones: "&amp;$I$15&amp;","</f>
        <v>oneVones: 0,</v>
      </c>
      <c r="C116" t="str">
        <f>"oneVones: "&amp;$I$9&amp;","</f>
        <v>oneVones: 1,</v>
      </c>
      <c r="D116" t="str">
        <f>"oneVones: "&amp;$I$24&amp;","</f>
        <v>oneVones: 3,</v>
      </c>
      <c r="E116" t="str">
        <f>"oneVones: "&amp;$I$12&amp;","</f>
        <v>oneVones: 0,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0,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0,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3,</v>
      </c>
      <c r="Q116" t="str">
        <f>"oneVones: "&amp;$I$10&amp;","</f>
        <v>oneVones: 0,</v>
      </c>
      <c r="R116" t="str">
        <f>"oneVones: "&amp;$I$2&amp;","</f>
        <v>oneVones: 0,</v>
      </c>
      <c r="S116" t="str">
        <f>"oneVones: "&amp;$I$19&amp;","</f>
        <v>oneVones: 1,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0,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1,</v>
      </c>
      <c r="B117" t="str">
        <f>"attHeaders: "&amp;$J$15&amp;","</f>
        <v>attHeaders: 0,</v>
      </c>
      <c r="C117" t="str">
        <f>"attHeaders: "&amp;$J$9&amp;","</f>
        <v>attHeaders: 1,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0,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0,</v>
      </c>
      <c r="N117" t="str">
        <f>"attHeaders: "&amp;$J$11&amp;","</f>
        <v>attHeaders: 1,</v>
      </c>
      <c r="O117" t="str">
        <f>"attHeaders: "&amp;$J$13&amp;","</f>
        <v>attHeaders: 0,</v>
      </c>
      <c r="P117" t="str">
        <f>"attHeaders: "&amp;$J$5&amp;","</f>
        <v>attHeaders: 2,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1,</v>
      </c>
      <c r="T117" t="str">
        <f>"attHeaders: "&amp;$J$17&amp;","</f>
        <v>attHeaders: 2,</v>
      </c>
      <c r="U117" t="str">
        <f>"attHeaders: "&amp;$J$18&amp;","</f>
        <v>attHeaders: 0,</v>
      </c>
      <c r="V117" t="str">
        <f>"attHeaders: "&amp;$J$16&amp;","</f>
        <v>attHeaders: 1,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1,</v>
      </c>
      <c r="B118" t="str">
        <f>"spEarned: "&amp;$K$15&amp;","</f>
        <v>spEarned: 0,</v>
      </c>
      <c r="C118" t="str">
        <f>"spEarned: "&amp;$K$9&amp;","</f>
        <v>spEarned: 2,</v>
      </c>
      <c r="D118" t="str">
        <f>"spEarned: "&amp;$K$24&amp;","</f>
        <v>spEarned: 0,</v>
      </c>
      <c r="E118" t="str">
        <f>"spEarned: "&amp;$K$12&amp;","</f>
        <v>spEarned: 1,</v>
      </c>
      <c r="F118" t="str">
        <f>"spEarned: "&amp;$K$22&amp;","</f>
        <v>spEarned: 0,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0,</v>
      </c>
      <c r="M118" t="str">
        <f>"spEarned: "&amp;$K$21&amp;","</f>
        <v>spEarned: 0,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2,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1,</v>
      </c>
      <c r="T118" t="str">
        <f>"spEarned: "&amp;$K$17&amp;","</f>
        <v>spEarned: 0,</v>
      </c>
      <c r="U118" t="str">
        <f>"spEarned: "&amp;$K$18&amp;","</f>
        <v>spEarned: 0,</v>
      </c>
      <c r="V118" t="str">
        <f>"spEarned: "&amp;$K$16&amp;","</f>
        <v>spEarned: 0,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1,</v>
      </c>
      <c r="B119" t="str">
        <f>"offTargetShots: "&amp;$L$15&amp;","</f>
        <v>offTargetShots: 0,</v>
      </c>
      <c r="C119" t="str">
        <f>"offTargetShots: "&amp;$L$9&amp;","</f>
        <v>offTargetShots: 1,</v>
      </c>
      <c r="D119" t="str">
        <f>"offTargetShots: "&amp;$L$24&amp;","</f>
        <v>offTargetShots: 3,</v>
      </c>
      <c r="E119" t="str">
        <f>"offTargetShots: "&amp;$L$12&amp;","</f>
        <v>offTargetShots: 0,</v>
      </c>
      <c r="F119" t="str">
        <f>"offTargetShots: "&amp;$L$22&amp;","</f>
        <v>offTargetShots: 0,</v>
      </c>
      <c r="G119" t="str">
        <f>"offTargetShots: "&amp;$L$3&amp;","</f>
        <v>offTargetShots: 0,</v>
      </c>
      <c r="H119" t="str">
        <f>"offTargetShots: "&amp;$L$7&amp;","</f>
        <v>offTargetShots: 0,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1,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1,</v>
      </c>
      <c r="R119" t="str">
        <f>"offTargetShots: "&amp;$L$2&amp;","</f>
        <v>offTargetShots: 0,</v>
      </c>
      <c r="S119" t="str">
        <f>"offTargetShots: "&amp;$L$19&amp;","</f>
        <v>offTargetShots: 1,</v>
      </c>
      <c r="T119" t="str">
        <f>"offTargetShots: "&amp;$L$17&amp;","</f>
        <v>offTargetShots: 1,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1,</v>
      </c>
      <c r="B120" t="str">
        <f>"onTargetShots: "&amp;$M$15&amp;","</f>
        <v>onTargetShots: 1,</v>
      </c>
      <c r="C120" t="str">
        <f>"onTargetShots: "&amp;$M$9&amp;","</f>
        <v>onTargetShots: 1,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0,</v>
      </c>
      <c r="G120" t="str">
        <f>"onTargetShots: "&amp;$M$3&amp;","</f>
        <v>onTargetShots: 0,</v>
      </c>
      <c r="H120" t="str">
        <f>"onTargetShots: "&amp;$M$7&amp;","</f>
        <v>onTargetShots: 1,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0,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0.17,</v>
      </c>
      <c r="B121" t="str">
        <f>"totalOffActMin: "&amp;TEXT($O$15,"0.00")&amp;","</f>
        <v>totalOffActMin: 0.02,</v>
      </c>
      <c r="C121" t="str">
        <f>"totalOffActMin: "&amp;TEXT($O$9,"0.00")&amp;","</f>
        <v>totalOffActMin: 0.15,</v>
      </c>
      <c r="D121" t="str">
        <f>"totalOffActMin: "&amp;TEXT($O$24,"0.00")&amp;","</f>
        <v>totalOffActMin: 0.09,</v>
      </c>
      <c r="E121" t="str">
        <f>"totalOffActMin: "&amp;TEXT($O$12,"0.00")&amp;","</f>
        <v>totalOffActMin: 0.07,</v>
      </c>
      <c r="F121" t="str">
        <f>"totalOffActMin: "&amp;TEXT($O$22,"0.00")&amp;","</f>
        <v>totalOffActMin: 0.01,</v>
      </c>
      <c r="G121" t="str">
        <f>"totalOffActMin: "&amp;TEXT($O$3,"0.00")&amp;","</f>
        <v>totalOffActMin: 0.00,</v>
      </c>
      <c r="H121" t="str">
        <f>"totalOffActMin: "&amp;TEXT($O$7,"0.00")&amp;","</f>
        <v>totalOffActMin: 0.06,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0.07,</v>
      </c>
      <c r="N121" t="str">
        <f>"totalOffActMin: "&amp;TEXT($O$11,"0.00")&amp;","</f>
        <v>totalOffActMin: 0.06,</v>
      </c>
      <c r="O121" t="str">
        <f>"totalOffActMin: "&amp;TEXT($O$13,"0.00")&amp;","</f>
        <v>totalOffActMin: 0.00,</v>
      </c>
      <c r="P121" t="str">
        <f>"totalOffActMin: "&amp;TEXT($O$5,"0.00")&amp;","</f>
        <v>totalOffActMin: 0.25,</v>
      </c>
      <c r="Q121" t="str">
        <f>"totalOffActMin: "&amp;TEXT($O$10,"0.00")&amp;","</f>
        <v>totalOffActMin: 0.12,</v>
      </c>
      <c r="R121" t="str">
        <f>"totalOffActMin: "&amp;TEXT($O$2,"0.00")&amp;","</f>
        <v>totalOffActMin: 0.00,</v>
      </c>
      <c r="S121" t="str">
        <f>"totalOffActMin: "&amp;TEXT($O$19,"0.00")&amp;","</f>
        <v>totalOffActMin: 0.09,</v>
      </c>
      <c r="T121" t="str">
        <f>"totalOffActMin: "&amp;TEXT($O$17,"0.00")&amp;","</f>
        <v>totalOffActMin: 0.12,</v>
      </c>
      <c r="U121" t="str">
        <f>"totalOffActMin: "&amp;TEXT($O$18,"0.00")&amp;","</f>
        <v>totalOffActMin: 0.00,</v>
      </c>
      <c r="V121" t="str">
        <f>"totalOffActMin: "&amp;TEXT($O$16,"0.00")&amp;","</f>
        <v>totalOffActMin: 0.10,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1,</v>
      </c>
      <c r="B122" t="str">
        <f>"tackles: "&amp;$P$15&amp;","</f>
        <v>tackles: 3,</v>
      </c>
      <c r="C122" t="str">
        <f>"tackles: "&amp;$P$9&amp;","</f>
        <v>tackles: 2,</v>
      </c>
      <c r="D122" t="str">
        <f>"tackles: "&amp;$P$24&amp;","</f>
        <v>tackles: 2,</v>
      </c>
      <c r="E122" t="str">
        <f>"tackles: "&amp;$P$12&amp;","</f>
        <v>tackles: 3,</v>
      </c>
      <c r="F122" t="str">
        <f>"tackles: "&amp;$P$22&amp;","</f>
        <v>tackles: 1,</v>
      </c>
      <c r="G122" t="str">
        <f>"tackles: "&amp;$P$3&amp;","</f>
        <v>tackles: 1,</v>
      </c>
      <c r="H122" t="str">
        <f>"tackles: "&amp;$P$7&amp;","</f>
        <v>tackles: 2,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0,</v>
      </c>
      <c r="N122" t="str">
        <f>"tackles: "&amp;$P$11&amp;","</f>
        <v>tackles: 1,</v>
      </c>
      <c r="O122" t="str">
        <f>"tackles: "&amp;$P$13&amp;","</f>
        <v>tackles: 0,</v>
      </c>
      <c r="P122" t="str">
        <f>"tackles: "&amp;$P$5&amp;","</f>
        <v>tackles: 1,</v>
      </c>
      <c r="Q122" t="str">
        <f>"tackles: "&amp;$P$10&amp;","</f>
        <v>tackles: 0,</v>
      </c>
      <c r="R122" t="str">
        <f>"tackles: "&amp;$P$2&amp;","</f>
        <v>tackles: 0,</v>
      </c>
      <c r="S122" t="str">
        <f>"tackles: "&amp;$P$19&amp;","</f>
        <v>tackles: 1,</v>
      </c>
      <c r="T122" t="str">
        <f>"tackles: "&amp;$P$17&amp;","</f>
        <v>tackles: 1,</v>
      </c>
      <c r="U122" t="str">
        <f>"tackles: "&amp;$P$18&amp;","</f>
        <v>tackles: 0,</v>
      </c>
      <c r="V122" t="str">
        <f>"tackles: "&amp;$P$16&amp;","</f>
        <v>tackles: 0,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3,</v>
      </c>
      <c r="B123" t="str">
        <f>"interceptions: "&amp;$Q$15&amp;","</f>
        <v>interceptions: 4,</v>
      </c>
      <c r="C123" t="str">
        <f>"interceptions: "&amp;$Q$9&amp;","</f>
        <v>interceptions: 6,</v>
      </c>
      <c r="D123" t="str">
        <f>"interceptions: "&amp;$Q$24&amp;","</f>
        <v>interceptions: 6,</v>
      </c>
      <c r="E123" t="str">
        <f>"interceptions: "&amp;$Q$12&amp;","</f>
        <v>interceptions: 5,</v>
      </c>
      <c r="F123" t="str">
        <f>"interceptions: "&amp;$Q$22&amp;","</f>
        <v>interceptions: 2,</v>
      </c>
      <c r="G123" t="str">
        <f>"interceptions: "&amp;$Q$3&amp;","</f>
        <v>interceptions: 0,</v>
      </c>
      <c r="H123" t="str">
        <f>"interceptions: "&amp;$Q$7&amp;","</f>
        <v>interceptions: 3,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0,</v>
      </c>
      <c r="M123" t="str">
        <f>"interceptions: "&amp;$Q$21&amp;","</f>
        <v>interceptions: 5,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2,</v>
      </c>
      <c r="Q123" t="str">
        <f>"interceptions: "&amp;$Q$10&amp;","</f>
        <v>interceptions: 1,</v>
      </c>
      <c r="R123" t="str">
        <f>"interceptions: "&amp;$Q$2&amp;","</f>
        <v>interceptions: 0,</v>
      </c>
      <c r="S123" t="str">
        <f>"interceptions: "&amp;$Q$19&amp;","</f>
        <v>interceptions: 1,</v>
      </c>
      <c r="T123" t="str">
        <f>"interceptions: "&amp;$Q$17&amp;","</f>
        <v>interceptions: 0,</v>
      </c>
      <c r="U123" t="str">
        <f>"interceptions: "&amp;$Q$18&amp;","</f>
        <v>interceptions: 0,</v>
      </c>
      <c r="V123" t="str">
        <f>"interceptions: "&amp;$Q$16&amp;","</f>
        <v>interceptions: 2,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0,</v>
      </c>
      <c r="B124" t="str">
        <f>"fhRegains: "&amp;$R$15&amp;","</f>
        <v>fhRegains: 0,</v>
      </c>
      <c r="C124" t="str">
        <f>"fhRegains: "&amp;$R$9&amp;","</f>
        <v>fhRegains: 1,</v>
      </c>
      <c r="D124" t="str">
        <f>"fhRegains: "&amp;$R$24&amp;","</f>
        <v>fhRegains: 1,</v>
      </c>
      <c r="E124" t="str">
        <f>"fhRegains: "&amp;$R$12&amp;","</f>
        <v>fhRegains: 2,</v>
      </c>
      <c r="F124" t="str">
        <f>"fhRegains: "&amp;$R$22&amp;","</f>
        <v>fhRegains: 1,</v>
      </c>
      <c r="G124" t="str">
        <f>"fhRegains: "&amp;$R$3&amp;","</f>
        <v>fhRegains: 0,</v>
      </c>
      <c r="H124" t="str">
        <f>"fhRegains: "&amp;$R$7&amp;","</f>
        <v>fhRegains: 0,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1,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2,</v>
      </c>
      <c r="Q124" t="str">
        <f>"fhRegains: "&amp;$R$10&amp;","</f>
        <v>fhRegains: 1,</v>
      </c>
      <c r="R124" t="str">
        <f>"fhRegains: "&amp;$R$2&amp;","</f>
        <v>fhRegains: 0,</v>
      </c>
      <c r="S124" t="str">
        <f>"fhRegains: "&amp;$R$19&amp;","</f>
        <v>fhRegains: 1,</v>
      </c>
      <c r="T124" t="str">
        <f>"fhRegains: "&amp;$R$17&amp;","</f>
        <v>fhRegains: 1,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3,</v>
      </c>
      <c r="C125" t="str">
        <f>"blocks: "&amp;$S$9&amp;","</f>
        <v>blocks: 0,</v>
      </c>
      <c r="D125" t="str">
        <f>"blocks: "&amp;$S$24&amp;","</f>
        <v>blocks: 1,</v>
      </c>
      <c r="E125" t="str">
        <f>"blocks: "&amp;$S$12&amp;","</f>
        <v>blocks: 0,</v>
      </c>
      <c r="F125" t="str">
        <f>"blocks: "&amp;$S$22&amp;","</f>
        <v>blocks: 1,</v>
      </c>
      <c r="G125" t="str">
        <f>"blocks: "&amp;$S$3&amp;","</f>
        <v>blocks: 0,</v>
      </c>
      <c r="H125" t="str">
        <f>"blocks: "&amp;$S$7&amp;","</f>
        <v>blocks: 1,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0,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0,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0,</v>
      </c>
      <c r="C126" t="str">
        <f>"clearances: "&amp;$T$9&amp;","</f>
        <v>clearances: 1,</v>
      </c>
      <c r="D126" t="str">
        <f>"clearances: "&amp;$T$24&amp;","</f>
        <v>clearances: 1,</v>
      </c>
      <c r="E126" t="str">
        <f>"clearances: "&amp;$T$12&amp;","</f>
        <v>clearances: 0,</v>
      </c>
      <c r="F126" t="str">
        <f>"clearances: "&amp;$T$22&amp;","</f>
        <v>clearances: 2,</v>
      </c>
      <c r="G126" t="str">
        <f>"clearances: "&amp;$T$3&amp;","</f>
        <v>clearances: 0,</v>
      </c>
      <c r="H126" t="str">
        <f>"clearances: "&amp;$T$7&amp;","</f>
        <v>clearances: 3,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4,</v>
      </c>
      <c r="M126" t="str">
        <f>"clearances: "&amp;$T$21&amp;","</f>
        <v>clearances: 0,</v>
      </c>
      <c r="N126" t="str">
        <f>"clearances: "&amp;$T$11&amp;","</f>
        <v>clearances: 0,</v>
      </c>
      <c r="O126" t="str">
        <f>"clearances: "&amp;$T$13&amp;","</f>
        <v>clearances: 0,</v>
      </c>
      <c r="P126" t="str">
        <f>"clearances: "&amp;$T$5&amp;","</f>
        <v>clearances: 3,</v>
      </c>
      <c r="Q126" t="str">
        <f>"clearances: "&amp;$T$10&amp;","</f>
        <v>clearances: 0,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1,</v>
      </c>
      <c r="B127" t="str">
        <f>"separations: "&amp;$U$15&amp;","</f>
        <v>separations: 0,</v>
      </c>
      <c r="C127" t="str">
        <f>"separations: "&amp;$U$9&amp;","</f>
        <v>separations: 3,</v>
      </c>
      <c r="D127" t="str">
        <f>"separations: "&amp;$U$24&amp;","</f>
        <v>separations: 0,</v>
      </c>
      <c r="E127" t="str">
        <f>"separations: "&amp;$U$12&amp;","</f>
        <v>separations: 2,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0,</v>
      </c>
      <c r="M127" t="str">
        <f>"separations: "&amp;$U$21&amp;","</f>
        <v>separations: 1,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2,</v>
      </c>
      <c r="Q127" t="str">
        <f>"separations: "&amp;$U$10&amp;","</f>
        <v>separations: 0,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1,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0,</v>
      </c>
      <c r="B128" t="str">
        <f>"headers: "&amp;$V$15&amp;","</f>
        <v>headers: 0,</v>
      </c>
      <c r="C128" t="str">
        <f>"headers: "&amp;$V$9&amp;","</f>
        <v>headers: 4,</v>
      </c>
      <c r="D128" t="str">
        <f>"headers: "&amp;$V$24&amp;","</f>
        <v>headers: 2,</v>
      </c>
      <c r="E128" t="str">
        <f>"headers: "&amp;$V$12&amp;","</f>
        <v>headers: 0,</v>
      </c>
      <c r="F128" t="str">
        <f>"headers: "&amp;$V$22&amp;","</f>
        <v>headers: 5,</v>
      </c>
      <c r="G128" t="str">
        <f>"headers: "&amp;$V$3&amp;","</f>
        <v>headers: 0,</v>
      </c>
      <c r="H128" t="str">
        <f>"headers: "&amp;$V$7&amp;","</f>
        <v>headers: 5,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3,</v>
      </c>
      <c r="M128" t="str">
        <f>"headers: "&amp;$V$21&amp;","</f>
        <v>headers: 1,</v>
      </c>
      <c r="N128" t="str">
        <f>"headers: "&amp;$V$11&amp;","</f>
        <v>headers: 1,</v>
      </c>
      <c r="O128" t="str">
        <f>"headers: "&amp;$V$13&amp;","</f>
        <v>headers: 0,</v>
      </c>
      <c r="P128" t="str">
        <f>"headers: "&amp;$V$5&amp;","</f>
        <v>headers: 1,</v>
      </c>
      <c r="Q128" t="str">
        <f>"headers: "&amp;$V$10&amp;","</f>
        <v>headers: 0,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0,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2,</v>
      </c>
      <c r="B129" t="str">
        <f>"stopFwdCA: "&amp;$W$15&amp;","</f>
        <v>stopFwdCA: 5,</v>
      </c>
      <c r="C129" t="str">
        <f>"stopFwdCA: "&amp;$W$9&amp;","</f>
        <v>stopFwdCA: 4,</v>
      </c>
      <c r="D129" t="str">
        <f>"stopFwdCA: "&amp;$W$24&amp;","</f>
        <v>stopFwdCA: 4,</v>
      </c>
      <c r="E129" t="str">
        <f>"stopFwdCA: "&amp;$W$12&amp;","</f>
        <v>stopFwdCA: 3,</v>
      </c>
      <c r="F129" t="str">
        <f>"stopFwdCA: "&amp;$W$22&amp;","</f>
        <v>stopFwdCA: 6,</v>
      </c>
      <c r="G129" t="str">
        <f>"stopFwdCA: "&amp;$W$3&amp;","</f>
        <v>stopFwdCA: 0,</v>
      </c>
      <c r="H129" t="str">
        <f>"stopFwdCA: "&amp;$W$7&amp;","</f>
        <v>stopFwdCA: 4,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1,</v>
      </c>
      <c r="M129" t="str">
        <f>"stopFwdCA: "&amp;$W$21&amp;","</f>
        <v>stopFwdCA: 3,</v>
      </c>
      <c r="N129" t="str">
        <f>"stopFwdCA: "&amp;$W$11&amp;","</f>
        <v>stopFwdCA: 2,</v>
      </c>
      <c r="O129" t="str">
        <f>"stopFwdCA: "&amp;$W$13&amp;","</f>
        <v>stopFwdCA: 0,</v>
      </c>
      <c r="P129" t="str">
        <f>"stopFwdCA: "&amp;$W$5&amp;","</f>
        <v>stopFwdCA: 4,</v>
      </c>
      <c r="Q129" t="str">
        <f>"stopFwdCA: "&amp;$W$10&amp;","</f>
        <v>stopFwdCA: 2,</v>
      </c>
      <c r="R129" t="str">
        <f>"stopFwdCA: "&amp;$W$2&amp;","</f>
        <v>stopFwdCA: 0,</v>
      </c>
      <c r="S129" t="str">
        <f>"stopFwdCA: "&amp;$W$19&amp;","</f>
        <v>stopFwdCA: 1,</v>
      </c>
      <c r="T129" t="str">
        <f>"stopFwdCA: "&amp;$W$17&amp;","</f>
        <v>stopFwdCA: 1,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0.10,</v>
      </c>
      <c r="B130" t="str">
        <f>"totalDefActMin: "&amp;TEXT($Y$15,"0.00")&amp;","</f>
        <v>totalDefActMin: 0.24,</v>
      </c>
      <c r="C130" t="str">
        <f>"totalDefActMin: "&amp;TEXT($Y$9,"0.00")&amp;","</f>
        <v>totalDefActMin: 0.26,</v>
      </c>
      <c r="D130" t="str">
        <f>"totalDefActMin: "&amp;TEXT($Y$24,"0.00")&amp;","</f>
        <v>totalDefActMin: 0.23,</v>
      </c>
      <c r="E130" t="str">
        <f>"totalDefActMin: "&amp;TEXT($Y$12,"0.00")&amp;","</f>
        <v>totalDefActMin: 0.20,</v>
      </c>
      <c r="F130" t="str">
        <f>"totalDefActMin: "&amp;TEXT($Y$22,"0.00")&amp;","</f>
        <v>totalDefActMin: 0.20,</v>
      </c>
      <c r="G130" t="str">
        <f>"totalDefActMin: "&amp;TEXT($Y$3,"0.00")&amp;","</f>
        <v>totalDefActMin: 0.14,</v>
      </c>
      <c r="H130" t="str">
        <f>"totalDefActMin: "&amp;TEXT($Y$7,"0.00")&amp;","</f>
        <v>totalDefActMin: 0.22,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0.13,</v>
      </c>
      <c r="M130" t="str">
        <f>"totalDefActMin: "&amp;TEXT($Y$21,"0.00")&amp;","</f>
        <v>totalDefActMin: 0.18,</v>
      </c>
      <c r="N130" t="str">
        <f>"totalDefActMin: "&amp;TEXT($Y$11,"0.00")&amp;","</f>
        <v>totalDefActMin: 0.25,</v>
      </c>
      <c r="O130" t="str">
        <f>"totalDefActMin: "&amp;TEXT($Y$13,"0.00")&amp;","</f>
        <v>totalDefActMin: 0.00,</v>
      </c>
      <c r="P130" t="str">
        <f>"totalDefActMin: "&amp;TEXT($Y$5,"0.00")&amp;","</f>
        <v>totalDefActMin: 0.23,</v>
      </c>
      <c r="Q130" t="str">
        <f>"totalDefActMin: "&amp;TEXT($Y$10,"0.00")&amp;","</f>
        <v>totalDefActMin: 0.16,</v>
      </c>
      <c r="R130" t="str">
        <f>"totalDefActMin: "&amp;TEXT($Y$2,"0.00")&amp;","</f>
        <v>totalDefActMin: 0.00,</v>
      </c>
      <c r="S130" t="str">
        <f>"totalDefActMin: "&amp;TEXT($Y$19,"0.00")&amp;","</f>
        <v>totalDefActMin: 0.07,</v>
      </c>
      <c r="T130" t="str">
        <f>"totalDefActMin: "&amp;TEXT($Y$17,"0.00")&amp;","</f>
        <v>totalDefActMin: 0.06,</v>
      </c>
      <c r="U130" t="str">
        <f>"totalDefActMin: "&amp;TEXT($Y$18,"0.00")&amp;","</f>
        <v>totalDefActMin: 0.00,</v>
      </c>
      <c r="V130" t="str">
        <f>"totalDefActMin: "&amp;TEXT($Y$16,"0.00")&amp;","</f>
        <v>totalDefActMin: 0.10,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19,</v>
      </c>
      <c r="B131" t="str">
        <f t="shared" ref="B131" si="4">"totalActions: "&amp;$Z$4&amp;","</f>
        <v>totalActions: 19,</v>
      </c>
      <c r="C131" t="str">
        <f>"totalActions: "&amp;$Z$9&amp;","</f>
        <v>totalActions: 33,</v>
      </c>
      <c r="D131" t="str">
        <f>"totalActions: "&amp;$Z$24&amp;","</f>
        <v>totalActions: 24,</v>
      </c>
      <c r="E131" t="str">
        <f>"totalActions: "&amp;$Z$12&amp;","</f>
        <v>totalActions: 20,</v>
      </c>
      <c r="F131" t="str">
        <f>"totalActions: "&amp;$Z$22&amp;","</f>
        <v>totalActions: 19,</v>
      </c>
      <c r="G131" t="str">
        <f>"totalActions: "&amp;$Z$3&amp;","</f>
        <v>totalActions: 1,</v>
      </c>
      <c r="H131" t="str">
        <f>"totalActions: "&amp;$Z$7&amp;","</f>
        <v>totalActions: 23,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2,</v>
      </c>
      <c r="M131" t="str">
        <f>"totalActions: "&amp;$Z$21&amp;","</f>
        <v>totalActions: 15,</v>
      </c>
      <c r="N131" t="str">
        <f>"totalActions: "&amp;$Z$11&amp;","</f>
        <v>totalActions: 5,</v>
      </c>
      <c r="O131" t="str">
        <f>"totalActions: "&amp;$Z$13&amp;","</f>
        <v>totalActions: 0,</v>
      </c>
      <c r="P131" t="str">
        <f>"totalActions: "&amp;$Z$5&amp;","</f>
        <v>totalActions: 31,</v>
      </c>
      <c r="Q131" t="str">
        <f>"totalActions: "&amp;$Z$10&amp;","</f>
        <v>totalActions: 7,</v>
      </c>
      <c r="R131" t="str">
        <f>"totalActions: "&amp;$Z$2&amp;","</f>
        <v>totalActions: 0,</v>
      </c>
      <c r="S131" t="str">
        <f>"totalActions: "&amp;$Z$19&amp;","</f>
        <v>totalActions: 9,</v>
      </c>
      <c r="T131" t="str">
        <f>"totalActions: "&amp;$Z$17&amp;","</f>
        <v>totalActions: 12,</v>
      </c>
      <c r="U131" t="str">
        <f>"totalActions: "&amp;$Z$18&amp;","</f>
        <v>totalActions: 0,</v>
      </c>
      <c r="V131" t="str">
        <f>"totalActions: "&amp;$Z$16&amp;","</f>
        <v>totalActions: 6,</v>
      </c>
      <c r="W131" t="str">
        <f>"totalActions: "&amp;$Z$6&amp;","</f>
        <v>totalActions: 0,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class="stat-value-2"&gt;12&lt;/span&gt;&lt;/p&gt;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class="stat-value-2"&gt;2&lt;/span&gt;&lt;/p&gt;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class="stat-value-2"&gt;12&lt;/span&gt;&lt;/p&gt;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class="stat-value-2"&gt;7&lt;/span&gt;&lt;/p&gt;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class="stat-value-2"&gt;5&lt;/span&gt;&lt;/p&gt;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class="stat-value-2"&gt;1&lt;/span&gt;&lt;/p&gt;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class="stat-value-2"&gt;5&lt;/span&gt;&lt;/p&gt;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class="stat-value-2"&gt;0&lt;/span&gt;&lt;/p&gt;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class="stat-value-2"&gt;4&lt;/span&gt;&lt;/p&gt;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class="stat-value-2"&gt;1&lt;/span&gt;&lt;/p&gt;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class="stat-value-2"&gt;16&lt;/span&gt;&lt;/p&gt;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class="stat-value-2"&gt;3&lt;/span&gt;&lt;/p&gt;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class="stat-value-2"&gt;5&lt;/span&gt;&lt;/p&gt;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class="stat-value-2"&gt;8&lt;/span&gt;&lt;/p&gt;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class="stat-value-2"&gt;3&lt;/span&gt;&lt;/p&gt;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class="stat-value-2"&gt;0.17&lt;/span&gt;&lt;/p&gt;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class="stat-value-2"&gt;0.02&lt;/span&gt;&lt;/p&gt;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class="stat-value-2"&gt;0.15&lt;/span&gt;&lt;/p&gt;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class="stat-value-2"&gt;0.09&lt;/span&gt;&lt;/p&gt;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class="stat-value-2"&gt;0.07&lt;/span&gt;&lt;/p&gt;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class="stat-value-2"&gt;0.01&lt;/span&gt;&lt;/p&gt;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class="stat-value-2"&gt;0.06&lt;/span&gt;&lt;/p&gt;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class="stat-value-2"&gt;0.07&lt;/span&gt;&lt;/p&gt;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class="stat-value-2"&gt;0.06&lt;/span&gt;&lt;/p&gt;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class="stat-value-2"&gt;0.25&lt;/span&gt;&lt;/p&gt;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class="stat-value-2"&gt;0.12&lt;/span&gt;&lt;/p&gt;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class="stat-value-2"&gt;0.09&lt;/span&gt;&lt;/p&gt;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class="stat-value-2"&gt;0.12&lt;/span&gt;&lt;/p&gt;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class="stat-value-2"&gt;0.10&lt;/span&gt;&lt;/p&gt;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class="stat-value-2"&gt;1&lt;/span&gt;&lt;/p&gt;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class="stat-value-2"&gt;1&lt;/span&gt;&lt;/p&gt;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class="stat-value-2"&gt;0&lt;/span&gt;&lt;/p&gt;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class="stat-value-2"&gt;0&lt;/span&gt;&lt;/p&gt;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class="stat-value-2"&gt;0&lt;/span&gt;&lt;/p&gt;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class="stat-value-2"&gt;5&lt;/span&gt;&lt;/p&gt;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class="stat-value-2"&gt;1&lt;/span&gt;&lt;/p&gt;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class="stat-value-2"&gt;5&lt;/span&gt;&lt;/p&gt;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class="stat-value-2"&gt;1&lt;/span&gt;&lt;/p&gt;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class="stat-value-2"&gt;4&lt;/span&gt;&lt;/p&gt;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class="stat-value-2"&gt;1&lt;/span&gt;&lt;/p&gt;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class="stat-value-2"&gt;4&lt;/span&gt;&lt;/p&gt;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class="stat-value-2"&gt;0&lt;/span&gt;&lt;/p&gt;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class="stat-value-2"&gt;3&lt;/span&gt;&lt;/p&gt;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class="stat-value-2"&gt;5&lt;/span&gt;&lt;/p&gt;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class="stat-value-2"&gt;1&lt;/span&gt;&lt;/p&gt;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class="stat-value-2"&gt;1&lt;/span&gt;&lt;/p&gt;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class="stat-value-2"&gt;2&lt;/span&gt;&lt;/p&gt;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class="stat-value-2"&gt;1&lt;/span&gt;&lt;/p&gt;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class="stat-value-2"&gt;1&lt;/span&gt;&lt;/p&gt;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class="stat-value-2"&gt;1&lt;/span&gt;&lt;/p&gt;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class="stat-value-2"&gt;0&lt;/span&gt;&lt;/p&gt;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class="stat-value-2"&gt;0&lt;/span&gt;&lt;/p&gt;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class="stat-value-2"&gt;1&lt;/span&gt;&lt;/p&gt;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class="stat-value-2"&gt;0&lt;/span&gt;&lt;/p&gt;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class="stat-value-2"&gt;0&lt;/span&gt;&lt;/p&gt;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class="stat-value-2"&gt;4&lt;/span&gt;&lt;/p&gt;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class="stat-value-2"&gt;0&lt;/span&gt;&lt;/p&gt;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class="stat-value-2"&gt;2&lt;/span&gt;&lt;/p&gt;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class="stat-value-2"&gt;2&lt;/span&gt;&lt;/p&gt;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class="stat-value-2"&gt;1&lt;/span&gt;&lt;/p&gt;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class="stat-value-2"&gt;3&lt;/span&gt;&lt;/p&gt;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class="stat-value-2"&gt;0&lt;/span&gt;&lt;/p&gt;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class="stat-value-2"&gt;0&lt;/span&gt;&lt;/p&gt;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class="stat-value-2"&gt;0&lt;/span&gt;&lt;/p&gt;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class="stat-value-2"&gt;3&lt;/span&gt;&lt;/p&gt;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class="stat-value-2"&gt;0&lt;/span&gt;&lt;/p&gt;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class="stat-value-2"&gt;1&lt;/span&gt;&lt;/p&gt;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class="stat-value-2"&gt;0&lt;/span&gt;&lt;/p&gt;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class="stat-value-2"&gt;1&lt;/span&gt;&lt;/p&gt;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class="stat-value-2"&gt;1&lt;/span&gt;&lt;/p&gt;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class="stat-value-2"&gt;0&lt;/span&gt;&lt;/p&gt;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class="stat-value-2"&gt;0&lt;/span&gt;&lt;/p&gt;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class="stat-value-2"&gt;1&lt;/span&gt;&lt;/p&gt;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class="stat-value-2"&gt;2&lt;/span&gt;&lt;/p&gt;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class="stat-value-2"&gt;1&lt;/span&gt;&lt;/p&gt;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class="stat-value-2"&gt;2&lt;/span&gt;&lt;/p&gt;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class="stat-value-2"&gt;1&lt;/span&gt;&lt;/p&gt;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class="stat-value-2"&gt;1&lt;/span&gt;&lt;/p&gt;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class="stat-value-2"&gt;0&lt;/span&gt;&lt;/p&gt;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class="stat-value-2"&gt;2&lt;/span&gt;&lt;/p&gt;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class="stat-value-2"&gt;1&lt;/span&gt;&lt;/p&gt;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class="stat-value-2"&gt;0&lt;/span&gt;&lt;/p&gt;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class="stat-value-2"&gt;0&lt;/span&gt;&lt;/p&gt;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class="stat-value-2"&gt;0&lt;/span&gt;&lt;/p&gt;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class="stat-value-2"&gt;2&lt;/span&gt;&lt;/p&gt;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class="stat-value-2"&gt;1&lt;/span&gt;&lt;/p&gt;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class="stat-value-2"&gt;0&lt;/span&gt;&lt;/p&gt;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class="stat-value-2"&gt;0&lt;/span&gt;&lt;/p&gt;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class="stat-value-2"&gt;1&lt;/span&gt;&lt;/p&gt;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class="stat-value-2"&gt;1&lt;/span&gt;&lt;/p&gt;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class="stat-value-2"&gt;1&lt;/span&gt;&lt;/p&gt;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class="stat-value-2"&gt;0&lt;/span&gt;&lt;/p&gt;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class="stat-value-2"&gt;1&lt;/span&gt;&lt;/p&gt;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class="stat-value-2"&gt;0&lt;/span&gt;&lt;/p&gt;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class="stat-value-2"&gt;1&lt;/span&gt;&lt;/p&gt;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class="stat-value-2"&gt;1&lt;/span&gt;&lt;/p&gt;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class="stat-value-2"&gt;3&lt;/span&gt;&lt;/p&gt;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class="stat-value-2"&gt;0&lt;/span&gt;&lt;/p&gt;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class="stat-value-2"&gt;0&lt;/span&gt;&lt;/p&gt;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class="stat-value-2"&gt;1&lt;/span&gt;&lt;/p&gt;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class="stat-value-2"&gt;1&lt;/span&gt;&lt;/p&gt;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class="stat-value-2"&gt;1&lt;/span&gt;&lt;/p&gt;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class="stat-value-2"&gt;1&lt;/span&gt;&lt;/p&gt;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class="stat-value-2"&gt;7&lt;/span&gt;&lt;/p&gt;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class="stat-value-2"&gt;22&lt;/span&gt;&lt;/p&gt;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class="stat-value-2"&gt;21&lt;/span&gt;&lt;/p&gt;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class="stat-value-2"&gt;17&lt;/span&gt;&lt;/p&gt;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class="stat-value-2"&gt;15&lt;/span&gt;&lt;/p&gt;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class="stat-value-2"&gt;18&lt;/span&gt;&lt;/p&gt;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class="stat-value-2"&gt;1&lt;/span&gt;&lt;/p&gt;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class="stat-value-2"&gt;18&lt;/span&gt;&lt;/p&gt;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class="stat-value-2"&gt;2&lt;/span&gt;&lt;/p&gt;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class="stat-value-2"&gt;11&lt;/span&gt;&lt;/p&gt;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class="stat-value-2"&gt;4&lt;/span&gt;&lt;/p&gt;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class="stat-value-2"&gt;15&lt;/span&gt;&lt;/p&gt;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class="stat-value-2"&gt;4&lt;/span&gt;&lt;/p&gt;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class="stat-value-2"&gt;4&lt;/span&gt;&lt;/p&gt;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class="stat-value-2"&gt;4&lt;/span&gt;&lt;/p&gt;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class="stat-value-2"&gt;3&lt;/span&gt;&lt;/p&gt;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class="stat-value-2"&gt;0.10&lt;/span&gt;&lt;/p&gt;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class="stat-value-2"&gt;0.24&lt;/span&gt;&lt;/p&gt;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class="stat-value-2"&gt;0.26&lt;/span&gt;&lt;/p&gt;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class="stat-value-2"&gt;0.23&lt;/span&gt;&lt;/p&gt;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class="stat-value-2"&gt;0.20&lt;/span&gt;&lt;/p&gt;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class="stat-value-2"&gt;0.20&lt;/span&gt;&lt;/p&gt;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class="stat-value-2"&gt;0.14&lt;/span&gt;&lt;/p&gt;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class="stat-value-2"&gt;0.22&lt;/span&gt;&lt;/p&gt;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class="stat-value-2"&gt;0.13&lt;/span&gt;&lt;/p&gt;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class="stat-value-2"&gt;0.18&lt;/span&gt;&lt;/p&gt;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class="stat-value-2"&gt;0.25&lt;/span&gt;&lt;/p&gt;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class="stat-value-2"&gt;0.23&lt;/span&gt;&lt;/p&gt;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class="stat-value-2"&gt;0.16&lt;/span&gt;&lt;/p&gt;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class="stat-value-2"&gt;0.07&lt;/span&gt;&lt;/p&gt;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class="stat-value-2"&gt;0.06&lt;/span&gt;&lt;/p&gt;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class="stat-value-2"&gt;0.10&lt;/span&gt;&lt;/p&gt;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class="stat-value-2"&gt;1&lt;/span&gt;&lt;/p&gt;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class="stat-value-2"&gt;3&lt;/span&gt;&lt;/p&gt;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class="stat-value-2"&gt;2&lt;/span&gt;&lt;/p&gt;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class="stat-value-2"&gt;2&lt;/span&gt;&lt;/p&gt;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class="stat-value-2"&gt;3&lt;/span&gt;&lt;/p&gt;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class="stat-value-2"&gt;1&lt;/span&gt;&lt;/p&gt;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class="stat-value-2"&gt;1&lt;/span&gt;&lt;/p&gt;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class="stat-value-2"&gt;2&lt;/span&gt;&lt;/p&gt;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class="stat-value-2"&gt;0&lt;/span&gt;&lt;/p&gt;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class="stat-value-2"&gt;1&lt;/span&gt;&lt;/p&gt;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class="stat-value-2"&gt;1&lt;/span&gt;&lt;/p&gt;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class="stat-value-2"&gt;0&lt;/span&gt;&lt;/p&gt;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class="stat-value-2"&gt;1&lt;/span&gt;&lt;/p&gt;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class="stat-value-2"&gt;0&lt;/span&gt;&lt;/p&gt;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class="stat-value-2"&gt;3&lt;/span&gt;&lt;/p&gt;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class="stat-value-2"&gt;4&lt;/span&gt;&lt;/p&gt;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class="stat-value-2"&gt;6&lt;/span&gt;&lt;/p&gt;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class="stat-value-2"&gt;6&lt;/span&gt;&lt;/p&gt;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class="stat-value-2"&gt;5&lt;/span&gt;&lt;/p&gt;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class="stat-value-2"&gt;2&lt;/span&gt;&lt;/p&gt;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class="stat-value-2"&gt;3&lt;/span&gt;&lt;/p&gt;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class="stat-value-2"&gt;0&lt;/span&gt;&lt;/p&gt;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class="stat-value-2"&gt;5&lt;/span&gt;&lt;/p&gt;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class="stat-value-2"&gt;2&lt;/span&gt;&lt;/p&gt;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class="stat-value-2"&gt;1&lt;/span&gt;&lt;/p&gt;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class="stat-value-2"&gt;1&lt;/span&gt;&lt;/p&gt;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class="stat-value-2"&gt;0&lt;/span&gt;&lt;/p&gt;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class="stat-value-2"&gt;2&lt;/span&gt;&lt;/p&gt;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class="stat-value-2"&gt;0&lt;/span&gt;&lt;/p&gt;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class="stat-value-2"&gt;0&lt;/span&gt;&lt;/p&gt;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class="stat-value-2"&gt;1&lt;/span&gt;&lt;/p&gt;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class="stat-value-2"&gt;1&lt;/span&gt;&lt;/p&gt;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class="stat-value-2"&gt;2&lt;/span&gt;&lt;/p&gt;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class="stat-value-2"&gt;1&lt;/span&gt;&lt;/p&gt;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class="stat-value-2"&gt;0&lt;/span&gt;&lt;/p&gt;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class="stat-value-2"&gt;1&lt;/span&gt;&lt;/p&gt;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class="stat-value-2"&gt;2&lt;/span&gt;&lt;/p&gt;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class="stat-value-2"&gt;1&lt;/span&gt;&lt;/p&gt;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class="stat-value-2"&gt;1&lt;/span&gt;&lt;/p&gt;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class="stat-value-2"&gt;1&lt;/span&gt;&lt;/p&gt;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class="stat-value-2"&gt;3&lt;/span&gt;&lt;/p&gt;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class="stat-value-2"&gt;1&lt;/span&gt;&lt;/p&gt;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class="stat-value-2"&gt;1&lt;/span&gt;&lt;/p&gt;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class="stat-value-2"&gt;1&lt;/span&gt;&lt;/p&gt;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class="stat-value-2"&gt;0&lt;/span&gt;&lt;/p&gt;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class="stat-value-2"&gt;0&lt;/span&gt;&lt;/p&gt;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class="stat-value-2"&gt;0&lt;/span&gt;&lt;/p&gt;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class="stat-value-2"&gt;1&lt;/span&gt;&lt;/p&gt;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class="stat-value-2"&gt;1&lt;/span&gt;&lt;/p&gt;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class="stat-value-2"&gt;2&lt;/span&gt;&lt;/p&gt;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class="stat-value-2"&gt;3&lt;/span&gt;&lt;/p&gt;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class="stat-value-2"&gt;4&lt;/span&gt;&lt;/p&gt;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class="stat-value-2"&gt;0&lt;/span&gt;&lt;/p&gt;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class="stat-value-2"&gt;0&lt;/span&gt;&lt;/p&gt;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class="stat-value-2"&gt;3&lt;/span&gt;&lt;/p&gt;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class="stat-value-2"&gt;0&lt;/span&gt;&lt;/p&gt;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class="stat-value-2"&gt;1&lt;/span&gt;&lt;/p&gt;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class="stat-value-2"&gt;0&lt;/span&gt;&lt;/p&gt;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class="stat-value-2"&gt;3&lt;/span&gt;&lt;/p&gt;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class="stat-value-2"&gt;0&lt;/span&gt;&lt;/p&gt;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class="stat-value-2"&gt;2&lt;/span&gt;&lt;/p&gt;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class="stat-value-2"&gt;0&lt;/span&gt;&lt;/p&gt;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class="stat-value-2"&gt;1&lt;/span&gt;&lt;/p&gt;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class="stat-value-2"&gt;2&lt;/span&gt;&lt;/p&gt;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class="stat-value-2"&gt;0&lt;/span&gt;&lt;/p&gt;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class="stat-value-2"&gt;1&lt;/span&gt;&lt;/p&gt;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class="stat-value-2"&gt;0&lt;/span&gt;&lt;/p&gt;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class="stat-value-2"&gt;0&lt;/span&gt;&lt;/p&gt;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class="stat-value-2"&gt;4&lt;/span&gt;&lt;/p&gt;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class="stat-value-2"&gt;2&lt;/span&gt;&lt;/p&gt;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class="stat-value-2"&gt;0&lt;/span&gt;&lt;/p&gt;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class="stat-value-2"&gt;5&lt;/span&gt;&lt;/p&gt;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class="stat-value-2"&gt;5&lt;/span&gt;&lt;/p&gt;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class="stat-value-2"&gt;3&lt;/span&gt;&lt;/p&gt;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class="stat-value-2"&gt;1&lt;/span&gt;&lt;/p&gt;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class="stat-value-2"&gt;1&lt;/span&gt;&lt;/p&gt;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class="stat-value-2"&gt;1&lt;/span&gt;&lt;/p&gt;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class="stat-value-2"&gt;0&lt;/span&gt;&lt;/p&gt;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class="stat-value-2"&gt;0&lt;/span&gt;&lt;/p&gt;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class="stat-value-2"&gt;2&lt;/span&gt;&lt;/p&gt;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class="stat-value-2"&gt;5&lt;/span&gt;&lt;/p&gt;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class="stat-value-2"&gt;4&lt;/span&gt;&lt;/p&gt;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class="stat-value-2"&gt;4&lt;/span&gt;&lt;/p&gt;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class="stat-value-2"&gt;3&lt;/span&gt;&lt;/p&gt;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class="stat-value-2"&gt;6&lt;/span&gt;&lt;/p&gt;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class="stat-value-2"&gt;4&lt;/span&gt;&lt;/p&gt;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class="stat-value-2"&gt;1&lt;/span&gt;&lt;/p&gt;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class="stat-value-2"&gt;3&lt;/span&gt;&lt;/p&gt;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class="stat-value-2"&gt;2&lt;/span&gt;&lt;/p&gt;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class="stat-value-2"&gt;4&lt;/span&gt;&lt;/p&gt;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class="stat-value-2"&gt;2&lt;/span&gt;&lt;/p&gt;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class="stat-value-2"&gt;1&lt;/span&gt;&lt;/p&gt;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class="stat-value-2"&gt;1&lt;/span&gt;&lt;/p&gt;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BC06-75F5-4D8D-BF43-607A994BFF2F}">
  <dimension ref="A1:AT157"/>
  <sheetViews>
    <sheetView topLeftCell="A92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f>IFERROR(N2/B2,0)</f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1">
        <f>IFERROR(X2/B2,0)</f>
        <v>0</v>
      </c>
      <c r="Z2"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" spans="1:46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f t="shared" ref="O3:O24" si="0">IFERROR(N3/B3,0)</f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f t="shared" ref="Y3:Y24" si="1">IFERROR(X3/B3,0)</f>
        <v>0</v>
      </c>
      <c r="Z3"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" spans="1:46" x14ac:dyDescent="0.3">
      <c r="A4" t="s">
        <v>27</v>
      </c>
      <c r="B4">
        <v>69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8</v>
      </c>
      <c r="K4">
        <v>3</v>
      </c>
      <c r="L4">
        <v>1</v>
      </c>
      <c r="M4">
        <v>0</v>
      </c>
      <c r="N4">
        <v>12</v>
      </c>
      <c r="O4" s="1">
        <f t="shared" si="0"/>
        <v>0.17391304347826086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1</v>
      </c>
      <c r="W4">
        <v>3</v>
      </c>
      <c r="X4">
        <v>6</v>
      </c>
      <c r="Y4" s="1">
        <f t="shared" si="1"/>
        <v>8.6956521739130432E-2</v>
      </c>
      <c r="Z4">
        <v>18</v>
      </c>
      <c r="AA4" s="1">
        <f t="shared" si="2"/>
        <v>0.2608695652173913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69&lt;/td&gt;&lt;td&gt;0&lt;/td&gt;&lt;td&gt;0&lt;/td&gt;&lt;td&gt;0&lt;/td&gt;&lt;td&gt;0&lt;/td&gt;&lt;td&gt;1&lt;/td&gt;&lt;td&gt;0&lt;/td&gt;&lt;td&gt;0&lt;/td&gt;&lt;td&gt;8&lt;/td&gt;&lt;td&gt;3&lt;/td&gt;&lt;td&gt;1&lt;/td&gt;&lt;td&gt;0&lt;/td&gt;&lt;td&gt;12&lt;/td&gt;&lt;td&gt;0.17&lt;/td&gt;&lt;td&gt;18&lt;/td&gt;&lt;td&gt;0.26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69&lt;/td&gt;&lt;td&gt;0&lt;/td&gt;&lt;td&gt;0&lt;/td&gt;&lt;td&gt;2&lt;/td&gt;&lt;td&gt;0&lt;/td&gt;&lt;td&gt;0&lt;/td&gt;&lt;td&gt;0&lt;/td&gt;&lt;td&gt;1&lt;/td&gt;&lt;td&gt;3&lt;/td&gt;&lt;td&gt;6&lt;/td&gt;&lt;td&gt;0.09&lt;/td&gt;&lt;td&gt;18&lt;/td&gt;&lt;td&gt;0.26&lt;/td&gt;&lt;/tr&gt;</v>
      </c>
    </row>
    <row r="5" spans="1:46" x14ac:dyDescent="0.3">
      <c r="A5" t="s">
        <v>28</v>
      </c>
      <c r="B5">
        <v>64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2</v>
      </c>
      <c r="O5" s="1">
        <f t="shared" si="0"/>
        <v>3.125E-2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3</v>
      </c>
      <c r="X5">
        <v>5</v>
      </c>
      <c r="Y5" s="1">
        <f t="shared" si="1"/>
        <v>7.8125E-2</v>
      </c>
      <c r="Z5">
        <v>7</v>
      </c>
      <c r="AA5" s="1">
        <f t="shared" si="2"/>
        <v>0.109375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64&lt;/td&gt;&lt;td&gt;0&lt;/td&gt;&lt;td&gt;0&lt;/td&gt;&lt;td&gt;0&lt;/td&gt;&lt;td&gt;1&lt;/td&gt;&lt;td&gt;1&lt;/td&gt;&lt;td&gt;0&lt;/td&gt;&lt;td&gt;0&lt;/td&gt;&lt;td&gt;1&lt;/td&gt;&lt;td&gt;0&lt;/td&gt;&lt;td&gt;0&lt;/td&gt;&lt;td&gt;0&lt;/td&gt;&lt;td&gt;2&lt;/td&gt;&lt;td&gt;0.03&lt;/td&gt;&lt;td&gt;7&lt;/td&gt;&lt;td&gt;0.11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64&lt;/td&gt;&lt;td&gt;0&lt;/td&gt;&lt;td&gt;1&lt;/td&gt;&lt;td&gt;0&lt;/td&gt;&lt;td&gt;0&lt;/td&gt;&lt;td&gt;0&lt;/td&gt;&lt;td&gt;0&lt;/td&gt;&lt;td&gt;1&lt;/td&gt;&lt;td&gt;3&lt;/td&gt;&lt;td&gt;5&lt;/td&gt;&lt;td&gt;0.08&lt;/td&gt;&lt;td&gt;7&lt;/td&gt;&lt;td&gt;0.11&lt;/td&gt;&lt;/tr&gt;</v>
      </c>
    </row>
    <row r="6" spans="1:46" x14ac:dyDescent="0.3">
      <c r="A6" t="s">
        <v>29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>
        <f t="shared" si="0"/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f t="shared" si="1"/>
        <v>0</v>
      </c>
      <c r="Z6"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8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8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" spans="1:46" x14ac:dyDescent="0.3">
      <c r="A7" t="s">
        <v>30</v>
      </c>
      <c r="B7">
        <v>30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 s="1">
        <f t="shared" si="0"/>
        <v>3.3333333333333333E-2</v>
      </c>
      <c r="P7">
        <v>2</v>
      </c>
      <c r="Q7">
        <v>2</v>
      </c>
      <c r="R7">
        <v>1</v>
      </c>
      <c r="S7">
        <v>2</v>
      </c>
      <c r="T7">
        <v>0</v>
      </c>
      <c r="U7">
        <v>0</v>
      </c>
      <c r="V7">
        <v>2</v>
      </c>
      <c r="W7">
        <v>2</v>
      </c>
      <c r="X7">
        <v>11</v>
      </c>
      <c r="Y7" s="1">
        <f t="shared" si="1"/>
        <v>0.36666666666666664</v>
      </c>
      <c r="Z7">
        <v>12</v>
      </c>
      <c r="AA7" s="1">
        <f t="shared" si="2"/>
        <v>0.4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30&lt;/td&gt;&lt;td&gt;0&lt;/td&gt;&lt;td&gt;0&lt;/td&gt;&lt;td&gt;0&lt;/td&gt;&lt;td&gt;1&lt;/td&gt;&lt;td&gt;0&lt;/td&gt;&lt;td&gt;0&lt;/td&gt;&lt;td&gt;0&lt;/td&gt;&lt;td&gt;0&lt;/td&gt;&lt;td&gt;0&lt;/td&gt;&lt;td&gt;0&lt;/td&gt;&lt;td&gt;0&lt;/td&gt;&lt;td&gt;1&lt;/td&gt;&lt;td&gt;0.03&lt;/td&gt;&lt;td&gt;12&lt;/td&gt;&lt;td&gt;0.40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30&lt;/td&gt;&lt;td&gt;2&lt;/td&gt;&lt;td&gt;2&lt;/td&gt;&lt;td&gt;1&lt;/td&gt;&lt;td&gt;2&lt;/td&gt;&lt;td&gt;0&lt;/td&gt;&lt;td&gt;0&lt;/td&gt;&lt;td&gt;2&lt;/td&gt;&lt;td&gt;2&lt;/td&gt;&lt;td&gt;11&lt;/td&gt;&lt;td&gt;0.37&lt;/td&gt;&lt;td&gt;12&lt;/td&gt;&lt;td&gt;0.40&lt;/td&gt;&lt;/tr&gt;</v>
      </c>
    </row>
    <row r="8" spans="1:46" x14ac:dyDescent="0.3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 t="shared" si="0"/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f t="shared" si="1"/>
        <v>0</v>
      </c>
      <c r="Z8"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9" spans="1:46" x14ac:dyDescent="0.3">
      <c r="A9" t="s">
        <v>32</v>
      </c>
      <c r="B9">
        <v>90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2</v>
      </c>
      <c r="J9">
        <v>0</v>
      </c>
      <c r="K9">
        <v>4</v>
      </c>
      <c r="L9">
        <v>0</v>
      </c>
      <c r="M9">
        <v>0</v>
      </c>
      <c r="N9">
        <v>9</v>
      </c>
      <c r="O9" s="1">
        <f t="shared" si="0"/>
        <v>0.1</v>
      </c>
      <c r="P9">
        <v>1</v>
      </c>
      <c r="Q9">
        <v>4</v>
      </c>
      <c r="R9">
        <v>3</v>
      </c>
      <c r="S9">
        <v>0</v>
      </c>
      <c r="T9">
        <v>1</v>
      </c>
      <c r="U9">
        <v>1</v>
      </c>
      <c r="V9">
        <v>9</v>
      </c>
      <c r="W9">
        <v>5</v>
      </c>
      <c r="X9">
        <v>24</v>
      </c>
      <c r="Y9" s="1">
        <f t="shared" si="1"/>
        <v>0.26666666666666666</v>
      </c>
      <c r="Z9">
        <v>33</v>
      </c>
      <c r="AA9" s="1">
        <f t="shared" si="2"/>
        <v>0.36666666666666664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90&lt;/td&gt;&lt;td&gt;0&lt;/td&gt;&lt;td&gt;0&lt;/td&gt;&lt;td&gt;0&lt;/td&gt;&lt;td&gt;3&lt;/td&gt;&lt;td&gt;0&lt;/td&gt;&lt;td&gt;0&lt;/td&gt;&lt;td&gt;2&lt;/td&gt;&lt;td&gt;0&lt;/td&gt;&lt;td&gt;4&lt;/td&gt;&lt;td&gt;0&lt;/td&gt;&lt;td&gt;0&lt;/td&gt;&lt;td&gt;9&lt;/td&gt;&lt;td&gt;0.10&lt;/td&gt;&lt;td&gt;33&lt;/td&gt;&lt;td&gt;0.37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90&lt;/td&gt;&lt;td&gt;1&lt;/td&gt;&lt;td&gt;4&lt;/td&gt;&lt;td&gt;3&lt;/td&gt;&lt;td&gt;0&lt;/td&gt;&lt;td&gt;1&lt;/td&gt;&lt;td&gt;1&lt;/td&gt;&lt;td&gt;9&lt;/td&gt;&lt;td&gt;5&lt;/td&gt;&lt;td&gt;24&lt;/td&gt;&lt;td&gt;0.27&lt;/td&gt;&lt;td&gt;33&lt;/td&gt;&lt;td&gt;0.37&lt;/td&gt;&lt;/tr&gt;</v>
      </c>
    </row>
    <row r="10" spans="1:46" x14ac:dyDescent="0.3">
      <c r="A10" t="s">
        <v>33</v>
      </c>
      <c r="B10">
        <v>32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4</v>
      </c>
      <c r="O10" s="1">
        <f t="shared" si="0"/>
        <v>0.125</v>
      </c>
      <c r="P10">
        <v>0</v>
      </c>
      <c r="Q10">
        <v>0</v>
      </c>
      <c r="R10">
        <v>0</v>
      </c>
      <c r="S10">
        <v>0</v>
      </c>
      <c r="T10">
        <v>1</v>
      </c>
      <c r="U10">
        <v>2</v>
      </c>
      <c r="V10">
        <v>1</v>
      </c>
      <c r="W10">
        <v>2</v>
      </c>
      <c r="X10">
        <v>6</v>
      </c>
      <c r="Y10" s="1">
        <f t="shared" si="1"/>
        <v>0.1875</v>
      </c>
      <c r="Z10">
        <v>10</v>
      </c>
      <c r="AA10" s="1">
        <f t="shared" si="2"/>
        <v>0.3125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32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0.13&lt;/td&gt;&lt;td&gt;10&lt;/td&gt;&lt;td&gt;0.31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32&lt;/td&gt;&lt;td&gt;0&lt;/td&gt;&lt;td&gt;0&lt;/td&gt;&lt;td&gt;0&lt;/td&gt;&lt;td&gt;0&lt;/td&gt;&lt;td&gt;1&lt;/td&gt;&lt;td&gt;2&lt;/td&gt;&lt;td&gt;1&lt;/td&gt;&lt;td&gt;2&lt;/td&gt;&lt;td&gt;6&lt;/td&gt;&lt;td&gt;0.19&lt;/td&gt;&lt;td&gt;10&lt;/td&gt;&lt;td&gt;0.31&lt;/td&gt;&lt;/tr&gt;</v>
      </c>
    </row>
    <row r="11" spans="1:46" x14ac:dyDescent="0.3">
      <c r="A11" t="s">
        <v>34</v>
      </c>
      <c r="B11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 s="1">
        <f t="shared" si="0"/>
        <v>6.6666666666666666E-2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2</v>
      </c>
      <c r="X11">
        <v>3</v>
      </c>
      <c r="Y11" s="1">
        <f t="shared" si="1"/>
        <v>0.2</v>
      </c>
      <c r="Z11">
        <v>4</v>
      </c>
      <c r="AA11" s="1">
        <f t="shared" si="2"/>
        <v>0.26666666666666666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15&lt;/td&gt;&lt;td&gt;0&lt;/td&gt;&lt;td&gt;0&lt;/td&gt;&lt;td&gt;0&lt;/td&gt;&lt;td&gt;0&lt;/td&gt;&lt;td&gt;0&lt;/td&gt;&lt;td&gt;0&lt;/td&gt;&lt;td&gt;0&lt;/td&gt;&lt;td&gt;1&lt;/td&gt;&lt;td&gt;0&lt;/td&gt;&lt;td&gt;0&lt;/td&gt;&lt;td&gt;0&lt;/td&gt;&lt;td&gt;1&lt;/td&gt;&lt;td&gt;0.07&lt;/td&gt;&lt;td&gt;4&lt;/td&gt;&lt;td&gt;0.27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15&lt;/td&gt;&lt;td&gt;0&lt;/td&gt;&lt;td&gt;0&lt;/td&gt;&lt;td&gt;0&lt;/td&gt;&lt;td&gt;0&lt;/td&gt;&lt;td&gt;1&lt;/td&gt;&lt;td&gt;0&lt;/td&gt;&lt;td&gt;0&lt;/td&gt;&lt;td&gt;2&lt;/td&gt;&lt;td&gt;3&lt;/td&gt;&lt;td&gt;0.20&lt;/td&gt;&lt;td&gt;4&lt;/td&gt;&lt;td&gt;0.27&lt;/td&gt;&lt;/tr&gt;</v>
      </c>
    </row>
    <row r="12" spans="1:46" x14ac:dyDescent="0.3">
      <c r="A12" t="s">
        <v>35</v>
      </c>
      <c r="B12">
        <v>86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4</v>
      </c>
      <c r="J12">
        <v>0</v>
      </c>
      <c r="K12">
        <v>1</v>
      </c>
      <c r="L12">
        <v>0</v>
      </c>
      <c r="M12">
        <v>0</v>
      </c>
      <c r="N12">
        <v>6</v>
      </c>
      <c r="O12" s="1">
        <f t="shared" si="0"/>
        <v>6.9767441860465115E-2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3</v>
      </c>
      <c r="X12">
        <v>8</v>
      </c>
      <c r="Y12" s="1">
        <f t="shared" si="1"/>
        <v>9.3023255813953487E-2</v>
      </c>
      <c r="Z12">
        <v>14</v>
      </c>
      <c r="AA12" s="1">
        <f t="shared" si="2"/>
        <v>0.16279069767441862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86&lt;/td&gt;&lt;td&gt;0&lt;/td&gt;&lt;td&gt;0&lt;/td&gt;&lt;td&gt;0&lt;/td&gt;&lt;td&gt;1&lt;/td&gt;&lt;td&gt;0&lt;/td&gt;&lt;td&gt;0&lt;/td&gt;&lt;td&gt;4&lt;/td&gt;&lt;td&gt;0&lt;/td&gt;&lt;td&gt;1&lt;/td&gt;&lt;td&gt;0&lt;/td&gt;&lt;td&gt;0&lt;/td&gt;&lt;td&gt;6&lt;/td&gt;&lt;td&gt;0.07&lt;/td&gt;&lt;td&gt;14&lt;/td&gt;&lt;td&gt;0.16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86&lt;/td&gt;&lt;td&gt;4&lt;/td&gt;&lt;td&gt;0&lt;/td&gt;&lt;td&gt;0&lt;/td&gt;&lt;td&gt;0&lt;/td&gt;&lt;td&gt;0&lt;/td&gt;&lt;td&gt;0&lt;/td&gt;&lt;td&gt;1&lt;/td&gt;&lt;td&gt;3&lt;/td&gt;&lt;td&gt;8&lt;/td&gt;&lt;td&gt;0.09&lt;/td&gt;&lt;td&gt;14&lt;/td&gt;&lt;td&gt;0.16&lt;/td&gt;&lt;/tr&gt;</v>
      </c>
    </row>
    <row r="13" spans="1:46" x14ac:dyDescent="0.3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f t="shared" si="0"/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f t="shared" si="1"/>
        <v>0</v>
      </c>
      <c r="Z13"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4" spans="1:46" x14ac:dyDescent="0.3">
      <c r="A14" t="s">
        <v>37</v>
      </c>
      <c r="B14">
        <v>60</v>
      </c>
      <c r="C14">
        <v>0</v>
      </c>
      <c r="D14">
        <v>0</v>
      </c>
      <c r="E14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v>1</v>
      </c>
      <c r="L14">
        <v>0</v>
      </c>
      <c r="M14">
        <v>0</v>
      </c>
      <c r="N14">
        <v>4</v>
      </c>
      <c r="O14" s="1">
        <f t="shared" si="0"/>
        <v>6.6666666666666666E-2</v>
      </c>
      <c r="P14">
        <v>0</v>
      </c>
      <c r="Q14">
        <v>3</v>
      </c>
      <c r="R14">
        <v>1</v>
      </c>
      <c r="S14">
        <v>2</v>
      </c>
      <c r="T14">
        <v>2</v>
      </c>
      <c r="U14">
        <v>3</v>
      </c>
      <c r="V14">
        <v>6</v>
      </c>
      <c r="W14">
        <v>4</v>
      </c>
      <c r="X14">
        <v>21</v>
      </c>
      <c r="Y14" s="1">
        <f t="shared" si="1"/>
        <v>0.35</v>
      </c>
      <c r="Z14">
        <v>25</v>
      </c>
      <c r="AA14" s="1">
        <f t="shared" si="2"/>
        <v>0.41666666666666669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60&lt;/td&gt;&lt;td&gt;0&lt;/td&gt;&lt;td&gt;0&lt;/td&gt;&lt;td&gt;0&lt;/td&gt;&lt;td&gt;1&lt;/td&gt;&lt;td&gt;0&lt;/td&gt;&lt;td&gt;2&lt;/td&gt;&lt;td&gt;0&lt;/td&gt;&lt;td&gt;0&lt;/td&gt;&lt;td&gt;1&lt;/td&gt;&lt;td&gt;0&lt;/td&gt;&lt;td&gt;0&lt;/td&gt;&lt;td&gt;4&lt;/td&gt;&lt;td&gt;0.07&lt;/td&gt;&lt;td&gt;25&lt;/td&gt;&lt;td&gt;0.42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60&lt;/td&gt;&lt;td&gt;0&lt;/td&gt;&lt;td&gt;3&lt;/td&gt;&lt;td&gt;1&lt;/td&gt;&lt;td&gt;2&lt;/td&gt;&lt;td&gt;2&lt;/td&gt;&lt;td&gt;3&lt;/td&gt;&lt;td&gt;6&lt;/td&gt;&lt;td&gt;4&lt;/td&gt;&lt;td&gt;21&lt;/td&gt;&lt;td&gt;0.35&lt;/td&gt;&lt;td&gt;25&lt;/td&gt;&lt;td&gt;0.42&lt;/td&gt;&lt;/tr&gt;</v>
      </c>
    </row>
    <row r="15" spans="1:46" x14ac:dyDescent="0.3">
      <c r="A15" t="s">
        <v>38</v>
      </c>
      <c r="B15">
        <v>90</v>
      </c>
      <c r="C15">
        <v>0</v>
      </c>
      <c r="D15">
        <v>1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8</v>
      </c>
      <c r="O15" s="1">
        <f t="shared" si="0"/>
        <v>8.8888888888888892E-2</v>
      </c>
      <c r="P15">
        <v>0</v>
      </c>
      <c r="Q15">
        <v>3</v>
      </c>
      <c r="R15">
        <v>2</v>
      </c>
      <c r="S15">
        <v>2</v>
      </c>
      <c r="T15">
        <v>3</v>
      </c>
      <c r="U15">
        <v>1</v>
      </c>
      <c r="V15">
        <v>7</v>
      </c>
      <c r="W15">
        <v>8</v>
      </c>
      <c r="X15">
        <v>26</v>
      </c>
      <c r="Y15" s="1">
        <f t="shared" si="1"/>
        <v>0.28888888888888886</v>
      </c>
      <c r="Z15">
        <v>34</v>
      </c>
      <c r="AA15" s="1">
        <f t="shared" si="2"/>
        <v>0.37777777777777777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90&lt;/td&gt;&lt;td&gt;0&lt;/td&gt;&lt;td&gt;1&lt;/td&gt;&lt;td&gt;1&lt;/td&gt;&lt;td&gt;3&lt;/td&gt;&lt;td&gt;0&lt;/td&gt;&lt;td&gt;0&lt;/td&gt;&lt;td&gt;0&lt;/td&gt;&lt;td&gt;0&lt;/td&gt;&lt;td&gt;3&lt;/td&gt;&lt;td&gt;0&lt;/td&gt;&lt;td&gt;0&lt;/td&gt;&lt;td&gt;8&lt;/td&gt;&lt;td&gt;0.09&lt;/td&gt;&lt;td&gt;34&lt;/td&gt;&lt;td&gt;0.38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90&lt;/td&gt;&lt;td&gt;0&lt;/td&gt;&lt;td&gt;3&lt;/td&gt;&lt;td&gt;2&lt;/td&gt;&lt;td&gt;2&lt;/td&gt;&lt;td&gt;3&lt;/td&gt;&lt;td&gt;1&lt;/td&gt;&lt;td&gt;7&lt;/td&gt;&lt;td&gt;8&lt;/td&gt;&lt;td&gt;26&lt;/td&gt;&lt;td&gt;0.29&lt;/td&gt;&lt;td&gt;34&lt;/td&gt;&lt;td&gt;0.38&lt;/td&gt;&lt;/tr&gt;</v>
      </c>
    </row>
    <row r="16" spans="1:46" x14ac:dyDescent="0.3">
      <c r="A16" t="s">
        <v>39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 s="1">
        <f t="shared" si="0"/>
        <v>4.1666666666666664E-2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 s="1">
        <f t="shared" si="1"/>
        <v>4.1666666666666664E-2</v>
      </c>
      <c r="Z16">
        <v>2</v>
      </c>
      <c r="AA16" s="1">
        <f t="shared" si="2"/>
        <v>8.3333333333333329E-2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24&lt;/td&gt;&lt;td&gt;0&lt;/td&gt;&lt;td&gt;0&lt;/td&gt;&lt;td&gt;0&lt;/td&gt;&lt;td&gt;0&lt;/td&gt;&lt;td&gt;0&lt;/td&gt;&lt;td&gt;0&lt;/td&gt;&lt;td&gt;0&lt;/td&gt;&lt;td&gt;0&lt;/td&gt;&lt;td&gt;1&lt;/td&gt;&lt;td&gt;0&lt;/td&gt;&lt;td&gt;0&lt;/td&gt;&lt;td&gt;1&lt;/td&gt;&lt;td&gt;0.04&lt;/td&gt;&lt;td&gt;2&lt;/td&gt;&lt;td&gt;0.08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24&lt;/td&gt;&lt;td&gt;0&lt;/td&gt;&lt;td&gt;0&lt;/td&gt;&lt;td&gt;0&lt;/td&gt;&lt;td&gt;0&lt;/td&gt;&lt;td&gt;0&lt;/td&gt;&lt;td&gt;0&lt;/td&gt;&lt;td&gt;0&lt;/td&gt;&lt;td&gt;1&lt;/td&gt;&lt;td&gt;1&lt;/td&gt;&lt;td&gt;0.04&lt;/td&gt;&lt;td&gt;2&lt;/td&gt;&lt;td&gt;0.08&lt;/td&gt;&lt;/tr&gt;</v>
      </c>
    </row>
    <row r="17" spans="1:46" x14ac:dyDescent="0.3">
      <c r="A17" t="s">
        <v>40</v>
      </c>
      <c r="B17">
        <v>79</v>
      </c>
      <c r="C17">
        <v>0</v>
      </c>
      <c r="D17">
        <v>0</v>
      </c>
      <c r="E17">
        <v>0</v>
      </c>
      <c r="F17">
        <v>2</v>
      </c>
      <c r="G17">
        <v>0</v>
      </c>
      <c r="H17">
        <v>1</v>
      </c>
      <c r="I17">
        <v>1</v>
      </c>
      <c r="J17">
        <v>1</v>
      </c>
      <c r="K17">
        <v>4</v>
      </c>
      <c r="L17">
        <v>0</v>
      </c>
      <c r="M17">
        <v>0</v>
      </c>
      <c r="N17">
        <v>9</v>
      </c>
      <c r="O17" s="1">
        <f t="shared" si="0"/>
        <v>0.11392405063291139</v>
      </c>
      <c r="P17">
        <v>5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3</v>
      </c>
      <c r="X17">
        <v>12</v>
      </c>
      <c r="Y17" s="1">
        <f t="shared" si="1"/>
        <v>0.15189873417721519</v>
      </c>
      <c r="Z17">
        <v>21</v>
      </c>
      <c r="AA17" s="1">
        <f t="shared" si="2"/>
        <v>0.26582278481012656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79&lt;/td&gt;&lt;td&gt;0&lt;/td&gt;&lt;td&gt;0&lt;/td&gt;&lt;td&gt;0&lt;/td&gt;&lt;td&gt;2&lt;/td&gt;&lt;td&gt;0&lt;/td&gt;&lt;td&gt;1&lt;/td&gt;&lt;td&gt;1&lt;/td&gt;&lt;td&gt;1&lt;/td&gt;&lt;td&gt;4&lt;/td&gt;&lt;td&gt;0&lt;/td&gt;&lt;td&gt;0&lt;/td&gt;&lt;td&gt;9&lt;/td&gt;&lt;td&gt;0.11&lt;/td&gt;&lt;td&gt;21&lt;/td&gt;&lt;td&gt;0.27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79&lt;/td&gt;&lt;td&gt;5&lt;/td&gt;&lt;td&gt;1&lt;/td&gt;&lt;td&gt;1&lt;/td&gt;&lt;td&gt;1&lt;/td&gt;&lt;td&gt;0&lt;/td&gt;&lt;td&gt;0&lt;/td&gt;&lt;td&gt;1&lt;/td&gt;&lt;td&gt;3&lt;/td&gt;&lt;td&gt;12&lt;/td&gt;&lt;td&gt;0.15&lt;/td&gt;&lt;td&gt;21&lt;/td&gt;&lt;td&gt;0.27&lt;/td&gt;&lt;/tr&gt;</v>
      </c>
    </row>
    <row r="18" spans="1:46" x14ac:dyDescent="0.3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f t="shared" si="0"/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">
        <f t="shared" si="1"/>
        <v>0</v>
      </c>
      <c r="Z18"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19" spans="1:46" x14ac:dyDescent="0.3">
      <c r="A19" t="s">
        <v>42</v>
      </c>
      <c r="B19">
        <v>57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 s="1">
        <f t="shared" si="0"/>
        <v>1.7543859649122806E-2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4</v>
      </c>
      <c r="Y19" s="1">
        <f t="shared" si="1"/>
        <v>7.0175438596491224E-2</v>
      </c>
      <c r="Z19">
        <v>5</v>
      </c>
      <c r="AA19" s="1">
        <f t="shared" si="2"/>
        <v>8.771929824561403E-2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57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0.02&lt;/td&gt;&lt;td&gt;5&lt;/td&gt;&lt;td&gt;0.09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57&lt;/td&gt;&lt;td&gt;1&lt;/td&gt;&lt;td&gt;0&lt;/td&gt;&lt;td&gt;0&lt;/td&gt;&lt;td&gt;0&lt;/td&gt;&lt;td&gt;0&lt;/td&gt;&lt;td&gt;0&lt;/td&gt;&lt;td&gt;0&lt;/td&gt;&lt;td&gt;3&lt;/td&gt;&lt;td&gt;4&lt;/td&gt;&lt;td&gt;0.07&lt;/td&gt;&lt;td&gt;5&lt;/td&gt;&lt;td&gt;0.09&lt;/td&gt;&lt;/tr&gt;</v>
      </c>
    </row>
    <row r="20" spans="1:46" x14ac:dyDescent="0.3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1">
        <f t="shared" si="0"/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f t="shared" si="1"/>
        <v>0</v>
      </c>
      <c r="Z20"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1" spans="1:46" x14ac:dyDescent="0.3">
      <c r="A21" t="s">
        <v>44</v>
      </c>
      <c r="B21">
        <v>55</v>
      </c>
      <c r="C21">
        <v>0</v>
      </c>
      <c r="D21">
        <v>0</v>
      </c>
      <c r="E21">
        <v>0</v>
      </c>
      <c r="F21">
        <v>4</v>
      </c>
      <c r="G21">
        <v>1</v>
      </c>
      <c r="H21">
        <v>0</v>
      </c>
      <c r="I21">
        <v>1</v>
      </c>
      <c r="J21">
        <v>4</v>
      </c>
      <c r="K21">
        <v>1</v>
      </c>
      <c r="L21">
        <v>1</v>
      </c>
      <c r="M21">
        <v>0</v>
      </c>
      <c r="N21">
        <v>11</v>
      </c>
      <c r="O21" s="1">
        <f t="shared" si="0"/>
        <v>0.2</v>
      </c>
      <c r="P21">
        <v>5</v>
      </c>
      <c r="Q21">
        <v>0</v>
      </c>
      <c r="R21">
        <v>3</v>
      </c>
      <c r="S21">
        <v>0</v>
      </c>
      <c r="T21">
        <v>1</v>
      </c>
      <c r="U21">
        <v>1</v>
      </c>
      <c r="V21">
        <v>4</v>
      </c>
      <c r="W21">
        <v>5</v>
      </c>
      <c r="X21">
        <v>19</v>
      </c>
      <c r="Y21" s="1">
        <f t="shared" si="1"/>
        <v>0.34545454545454546</v>
      </c>
      <c r="Z21">
        <v>30</v>
      </c>
      <c r="AA21" s="1">
        <f t="shared" si="2"/>
        <v>0.54545454545454541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55&lt;/td&gt;&lt;td&gt;0&lt;/td&gt;&lt;td&gt;0&lt;/td&gt;&lt;td&gt;0&lt;/td&gt;&lt;td&gt;4&lt;/td&gt;&lt;td&gt;1&lt;/td&gt;&lt;td&gt;0&lt;/td&gt;&lt;td&gt;1&lt;/td&gt;&lt;td&gt;4&lt;/td&gt;&lt;td&gt;1&lt;/td&gt;&lt;td&gt;1&lt;/td&gt;&lt;td&gt;0&lt;/td&gt;&lt;td&gt;11&lt;/td&gt;&lt;td&gt;0.20&lt;/td&gt;&lt;td&gt;30&lt;/td&gt;&lt;td&gt;0.55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55&lt;/td&gt;&lt;td&gt;5&lt;/td&gt;&lt;td&gt;0&lt;/td&gt;&lt;td&gt;3&lt;/td&gt;&lt;td&gt;0&lt;/td&gt;&lt;td&gt;1&lt;/td&gt;&lt;td&gt;1&lt;/td&gt;&lt;td&gt;4&lt;/td&gt;&lt;td&gt;5&lt;/td&gt;&lt;td&gt;19&lt;/td&gt;&lt;td&gt;0.35&lt;/td&gt;&lt;td&gt;30&lt;/td&gt;&lt;td&gt;0.55&lt;/td&gt;&lt;/tr&gt;</v>
      </c>
    </row>
    <row r="22" spans="1:46" x14ac:dyDescent="0.3">
      <c r="A22" t="s">
        <v>45</v>
      </c>
      <c r="B22">
        <v>90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2</v>
      </c>
      <c r="K22">
        <v>0</v>
      </c>
      <c r="L22">
        <v>3</v>
      </c>
      <c r="M22">
        <v>1</v>
      </c>
      <c r="N22">
        <v>8</v>
      </c>
      <c r="O22" s="1">
        <f t="shared" si="0"/>
        <v>8.8888888888888892E-2</v>
      </c>
      <c r="P22">
        <v>5</v>
      </c>
      <c r="Q22">
        <v>3</v>
      </c>
      <c r="R22">
        <v>5</v>
      </c>
      <c r="S22">
        <v>0</v>
      </c>
      <c r="T22">
        <v>4</v>
      </c>
      <c r="U22">
        <v>0</v>
      </c>
      <c r="V22">
        <v>12</v>
      </c>
      <c r="W22">
        <v>2</v>
      </c>
      <c r="X22">
        <v>31</v>
      </c>
      <c r="Y22" s="1">
        <f t="shared" si="1"/>
        <v>0.34444444444444444</v>
      </c>
      <c r="Z22">
        <v>39</v>
      </c>
      <c r="AA22" s="1">
        <f t="shared" si="2"/>
        <v>0.43333333333333335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90&lt;/td&gt;&lt;td&gt;1&lt;/td&gt;&lt;td&gt;0&lt;/td&gt;&lt;td&gt;0&lt;/td&gt;&lt;td&gt;1&lt;/td&gt;&lt;td&gt;0&lt;/td&gt;&lt;td&gt;0&lt;/td&gt;&lt;td&gt;0&lt;/td&gt;&lt;td&gt;2&lt;/td&gt;&lt;td&gt;0&lt;/td&gt;&lt;td&gt;3&lt;/td&gt;&lt;td&gt;1&lt;/td&gt;&lt;td&gt;8&lt;/td&gt;&lt;td&gt;0.09&lt;/td&gt;&lt;td&gt;39&lt;/td&gt;&lt;td&gt;0.43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90&lt;/td&gt;&lt;td&gt;5&lt;/td&gt;&lt;td&gt;3&lt;/td&gt;&lt;td&gt;5&lt;/td&gt;&lt;td&gt;0&lt;/td&gt;&lt;td&gt;4&lt;/td&gt;&lt;td&gt;0&lt;/td&gt;&lt;td&gt;12&lt;/td&gt;&lt;td&gt;2&lt;/td&gt;&lt;td&gt;31&lt;/td&gt;&lt;td&gt;0.34&lt;/td&gt;&lt;td&gt;39&lt;/td&gt;&lt;td&gt;0.43&lt;/td&gt;&lt;/tr&gt;</v>
      </c>
    </row>
    <row r="23" spans="1:46" x14ac:dyDescent="0.3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f t="shared" si="0"/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">
        <f t="shared" si="1"/>
        <v>0</v>
      </c>
      <c r="Z23"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24" spans="1:46" x14ac:dyDescent="0.3">
      <c r="A24" t="s">
        <v>47</v>
      </c>
      <c r="B24">
        <v>50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3</v>
      </c>
      <c r="O24" s="1">
        <f t="shared" si="0"/>
        <v>0.06</v>
      </c>
      <c r="P24">
        <v>5</v>
      </c>
      <c r="Q24">
        <v>1</v>
      </c>
      <c r="R24">
        <v>0</v>
      </c>
      <c r="S24">
        <v>0</v>
      </c>
      <c r="T24">
        <v>0</v>
      </c>
      <c r="U24">
        <v>1</v>
      </c>
      <c r="V24">
        <v>6</v>
      </c>
      <c r="W24">
        <v>3</v>
      </c>
      <c r="X24">
        <v>16</v>
      </c>
      <c r="Y24" s="1">
        <f t="shared" si="1"/>
        <v>0.32</v>
      </c>
      <c r="Z24">
        <v>19</v>
      </c>
      <c r="AA24" s="1">
        <f t="shared" si="2"/>
        <v>0.38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50&lt;/td&gt;&lt;td&gt;0&lt;/td&gt;&lt;td&gt;0&lt;/td&gt;&lt;td&gt;0&lt;/td&gt;&lt;td&gt;1&lt;/td&gt;&lt;td&gt;0&lt;/td&gt;&lt;td&gt;1&lt;/td&gt;&lt;td&gt;1&lt;/td&gt;&lt;td&gt;0&lt;/td&gt;&lt;td&gt;0&lt;/td&gt;&lt;td&gt;0&lt;/td&gt;&lt;td&gt;0&lt;/td&gt;&lt;td&gt;3&lt;/td&gt;&lt;td&gt;0.06&lt;/td&gt;&lt;td&gt;19&lt;/td&gt;&lt;td&gt;0.38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50&lt;/td&gt;&lt;td&gt;5&lt;/td&gt;&lt;td&gt;1&lt;/td&gt;&lt;td&gt;0&lt;/td&gt;&lt;td&gt;0&lt;/td&gt;&lt;td&gt;0&lt;/td&gt;&lt;td&gt;1&lt;/td&gt;&lt;td&gt;6&lt;/td&gt;&lt;td&gt;3&lt;/td&gt;&lt;td&gt;16&lt;/td&gt;&lt;td&gt;0.32&lt;/td&gt;&lt;td&gt;19&lt;/td&gt;&lt;td&gt;0.38&lt;/td&gt;&lt;/tr&gt;</v>
      </c>
    </row>
    <row r="26" spans="1:46" x14ac:dyDescent="0.3">
      <c r="A26" t="str">
        <f>AC4</f>
        <v>&lt;tr&gt;&lt;td&gt;Makovicka&lt;/td&gt;&lt;td&gt;69&lt;/td&gt;&lt;td&gt;0&lt;/td&gt;&lt;td&gt;0&lt;/td&gt;&lt;td&gt;0&lt;/td&gt;&lt;td&gt;0&lt;/td&gt;&lt;td&gt;1&lt;/td&gt;&lt;td&gt;0&lt;/td&gt;&lt;td&gt;0&lt;/td&gt;&lt;td&gt;8&lt;/td&gt;&lt;td&gt;3&lt;/td&gt;&lt;td&gt;1&lt;/td&gt;&lt;td&gt;0&lt;/td&gt;&lt;td&gt;12&lt;/td&gt;&lt;td&gt;0.17&lt;/td&gt;&lt;td&gt;18&lt;/td&gt;&lt;td&gt;0.26&lt;/td&gt;&lt;/tr&gt;</v>
      </c>
    </row>
    <row r="27" spans="1:46" x14ac:dyDescent="0.3">
      <c r="A27" t="str">
        <f>AC15</f>
        <v>&lt;tr&gt;&lt;td&gt;Williams&lt;/td&gt;&lt;td&gt;90&lt;/td&gt;&lt;td&gt;0&lt;/td&gt;&lt;td&gt;1&lt;/td&gt;&lt;td&gt;1&lt;/td&gt;&lt;td&gt;3&lt;/td&gt;&lt;td&gt;0&lt;/td&gt;&lt;td&gt;0&lt;/td&gt;&lt;td&gt;0&lt;/td&gt;&lt;td&gt;0&lt;/td&gt;&lt;td&gt;3&lt;/td&gt;&lt;td&gt;0&lt;/td&gt;&lt;td&gt;0&lt;/td&gt;&lt;td&gt;8&lt;/td&gt;&lt;td&gt;0.09&lt;/td&gt;&lt;td&gt;34&lt;/td&gt;&lt;td&gt;0.38&lt;/td&gt;&lt;/tr&gt;</v>
      </c>
    </row>
    <row r="28" spans="1:46" x14ac:dyDescent="0.3">
      <c r="A28" t="str">
        <f>AC9</f>
        <v>&lt;tr&gt;&lt;td&gt;Guyott&lt;/td&gt;&lt;td&gt;90&lt;/td&gt;&lt;td&gt;0&lt;/td&gt;&lt;td&gt;0&lt;/td&gt;&lt;td&gt;0&lt;/td&gt;&lt;td&gt;3&lt;/td&gt;&lt;td&gt;0&lt;/td&gt;&lt;td&gt;0&lt;/td&gt;&lt;td&gt;2&lt;/td&gt;&lt;td&gt;0&lt;/td&gt;&lt;td&gt;4&lt;/td&gt;&lt;td&gt;0&lt;/td&gt;&lt;td&gt;0&lt;/td&gt;&lt;td&gt;9&lt;/td&gt;&lt;td&gt;0.10&lt;/td&gt;&lt;td&gt;33&lt;/td&gt;&lt;td&gt;0.37&lt;/td&gt;&lt;/tr&gt;</v>
      </c>
    </row>
    <row r="29" spans="1:46" x14ac:dyDescent="0.3">
      <c r="A29" t="str">
        <f>AC24</f>
        <v>&lt;tr&gt;&lt;td&gt;Sant&lt;/td&gt;&lt;td&gt;50&lt;/td&gt;&lt;td&gt;0&lt;/td&gt;&lt;td&gt;0&lt;/td&gt;&lt;td&gt;0&lt;/td&gt;&lt;td&gt;1&lt;/td&gt;&lt;td&gt;0&lt;/td&gt;&lt;td&gt;1&lt;/td&gt;&lt;td&gt;1&lt;/td&gt;&lt;td&gt;0&lt;/td&gt;&lt;td&gt;0&lt;/td&gt;&lt;td&gt;0&lt;/td&gt;&lt;td&gt;0&lt;/td&gt;&lt;td&gt;3&lt;/td&gt;&lt;td&gt;0.06&lt;/td&gt;&lt;td&gt;19&lt;/td&gt;&lt;td&gt;0.38&lt;/td&gt;&lt;/tr&gt;</v>
      </c>
    </row>
    <row r="30" spans="1:46" x14ac:dyDescent="0.3">
      <c r="A30" t="str">
        <f>AC12</f>
        <v>&lt;tr&gt;&lt;td&gt;Reda&lt;/td&gt;&lt;td&gt;86&lt;/td&gt;&lt;td&gt;0&lt;/td&gt;&lt;td&gt;0&lt;/td&gt;&lt;td&gt;0&lt;/td&gt;&lt;td&gt;1&lt;/td&gt;&lt;td&gt;0&lt;/td&gt;&lt;td&gt;0&lt;/td&gt;&lt;td&gt;4&lt;/td&gt;&lt;td&gt;0&lt;/td&gt;&lt;td&gt;1&lt;/td&gt;&lt;td&gt;0&lt;/td&gt;&lt;td&gt;0&lt;/td&gt;&lt;td&gt;6&lt;/td&gt;&lt;td&gt;0.07&lt;/td&gt;&lt;td&gt;14&lt;/td&gt;&lt;td&gt;0.16&lt;/td&gt;&lt;/tr&gt;</v>
      </c>
    </row>
    <row r="31" spans="1:46" x14ac:dyDescent="0.3">
      <c r="A31" t="str">
        <f>AC22</f>
        <v>&lt;tr&gt;&lt;td&gt;Borer&lt;/td&gt;&lt;td&gt;90&lt;/td&gt;&lt;td&gt;1&lt;/td&gt;&lt;td&gt;0&lt;/td&gt;&lt;td&gt;0&lt;/td&gt;&lt;td&gt;1&lt;/td&gt;&lt;td&gt;0&lt;/td&gt;&lt;td&gt;0&lt;/td&gt;&lt;td&gt;0&lt;/td&gt;&lt;td&gt;2&lt;/td&gt;&lt;td&gt;0&lt;/td&gt;&lt;td&gt;3&lt;/td&gt;&lt;td&gt;1&lt;/td&gt;&lt;td&gt;8&lt;/td&gt;&lt;td&gt;0.09&lt;/td&gt;&lt;td&gt;39&lt;/td&gt;&lt;td&gt;0.43&lt;/td&gt;&lt;/tr&gt;</v>
      </c>
    </row>
    <row r="32" spans="1:46" x14ac:dyDescent="0.3">
      <c r="A32" t="str">
        <f>AC3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3" spans="1:1" x14ac:dyDescent="0.3">
      <c r="A33" t="str">
        <f>AC7</f>
        <v>&lt;tr&gt;&lt;td&gt;Donnelly&lt;/td&gt;&lt;td&gt;30&lt;/td&gt;&lt;td&gt;0&lt;/td&gt;&lt;td&gt;0&lt;/td&gt;&lt;td&gt;0&lt;/td&gt;&lt;td&gt;1&lt;/td&gt;&lt;td&gt;0&lt;/td&gt;&lt;td&gt;0&lt;/td&gt;&lt;td&gt;0&lt;/td&gt;&lt;td&gt;0&lt;/td&gt;&lt;td&gt;0&lt;/td&gt;&lt;td&gt;0&lt;/td&gt;&lt;td&gt;0&lt;/td&gt;&lt;td&gt;1&lt;/td&gt;&lt;td&gt;0.03&lt;/td&gt;&lt;td&gt;12&lt;/td&gt;&lt;td&gt;0.40&lt;/td&gt;&lt;/tr&gt;</v>
      </c>
    </row>
    <row r="34" spans="1:1" x14ac:dyDescent="0.3">
      <c r="A34" t="str">
        <f>AC8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5" spans="1:1" x14ac:dyDescent="0.3">
      <c r="A35" t="str">
        <f>AC23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6" spans="1:1" x14ac:dyDescent="0.3">
      <c r="A36" t="str">
        <f>AC20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37" spans="1:1" x14ac:dyDescent="0.3">
      <c r="A37" t="str">
        <f>AC14</f>
        <v>&lt;tr&gt;&lt;td&gt;Sees&lt;/td&gt;&lt;td&gt;60&lt;/td&gt;&lt;td&gt;0&lt;/td&gt;&lt;td&gt;0&lt;/td&gt;&lt;td&gt;0&lt;/td&gt;&lt;td&gt;1&lt;/td&gt;&lt;td&gt;0&lt;/td&gt;&lt;td&gt;2&lt;/td&gt;&lt;td&gt;0&lt;/td&gt;&lt;td&gt;0&lt;/td&gt;&lt;td&gt;1&lt;/td&gt;&lt;td&gt;0&lt;/td&gt;&lt;td&gt;0&lt;/td&gt;&lt;td&gt;4&lt;/td&gt;&lt;td&gt;0.07&lt;/td&gt;&lt;td&gt;25&lt;/td&gt;&lt;td&gt;0.42&lt;/td&gt;&lt;/tr&gt;</v>
      </c>
    </row>
    <row r="38" spans="1:1" x14ac:dyDescent="0.3">
      <c r="A38" t="str">
        <f>AC21</f>
        <v>&lt;tr&gt;&lt;td&gt;Snowden&lt;/td&gt;&lt;td&gt;55&lt;/td&gt;&lt;td&gt;0&lt;/td&gt;&lt;td&gt;0&lt;/td&gt;&lt;td&gt;0&lt;/td&gt;&lt;td&gt;4&lt;/td&gt;&lt;td&gt;1&lt;/td&gt;&lt;td&gt;0&lt;/td&gt;&lt;td&gt;1&lt;/td&gt;&lt;td&gt;4&lt;/td&gt;&lt;td&gt;1&lt;/td&gt;&lt;td&gt;1&lt;/td&gt;&lt;td&gt;0&lt;/td&gt;&lt;td&gt;11&lt;/td&gt;&lt;td&gt;0.20&lt;/td&gt;&lt;td&gt;30&lt;/td&gt;&lt;td&gt;0.55&lt;/td&gt;&lt;/tr&gt;</v>
      </c>
    </row>
    <row r="39" spans="1:1" x14ac:dyDescent="0.3">
      <c r="A39" t="str">
        <f>AC11</f>
        <v>&lt;tr&gt;&lt;td&gt;Prososki&lt;/td&gt;&lt;td&gt;15&lt;/td&gt;&lt;td&gt;0&lt;/td&gt;&lt;td&gt;0&lt;/td&gt;&lt;td&gt;0&lt;/td&gt;&lt;td&gt;0&lt;/td&gt;&lt;td&gt;0&lt;/td&gt;&lt;td&gt;0&lt;/td&gt;&lt;td&gt;0&lt;/td&gt;&lt;td&gt;1&lt;/td&gt;&lt;td&gt;0&lt;/td&gt;&lt;td&gt;0&lt;/td&gt;&lt;td&gt;0&lt;/td&gt;&lt;td&gt;1&lt;/td&gt;&lt;td&gt;0.07&lt;/td&gt;&lt;td&gt;4&lt;/td&gt;&lt;td&gt;0.27&lt;/td&gt;&lt;/tr&gt;</v>
      </c>
    </row>
    <row r="40" spans="1:1" x14ac:dyDescent="0.3">
      <c r="A40" t="str">
        <f>AC13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1" spans="1:1" x14ac:dyDescent="0.3">
      <c r="A41" t="str">
        <f>AC5</f>
        <v>&lt;tr&gt;&lt;td&gt;Bohonek&lt;/td&gt;&lt;td&gt;64&lt;/td&gt;&lt;td&gt;0&lt;/td&gt;&lt;td&gt;0&lt;/td&gt;&lt;td&gt;0&lt;/td&gt;&lt;td&gt;1&lt;/td&gt;&lt;td&gt;1&lt;/td&gt;&lt;td&gt;0&lt;/td&gt;&lt;td&gt;0&lt;/td&gt;&lt;td&gt;1&lt;/td&gt;&lt;td&gt;0&lt;/td&gt;&lt;td&gt;0&lt;/td&gt;&lt;td&gt;0&lt;/td&gt;&lt;td&gt;2&lt;/td&gt;&lt;td&gt;0.03&lt;/td&gt;&lt;td&gt;7&lt;/td&gt;&lt;td&gt;0.11&lt;/td&gt;&lt;/tr&gt;</v>
      </c>
    </row>
    <row r="42" spans="1:1" x14ac:dyDescent="0.3">
      <c r="A42" t="str">
        <f>AC10</f>
        <v>&lt;tr&gt;&lt;td&gt;Rudney&lt;/td&gt;&lt;td&gt;32&lt;/td&gt;&lt;td&gt;0&lt;/td&gt;&lt;td&gt;0&lt;/td&gt;&lt;td&gt;0&lt;/td&gt;&lt;td&gt;2&lt;/td&gt;&lt;td&gt;0&lt;/td&gt;&lt;td&gt;0&lt;/td&gt;&lt;td&gt;0&lt;/td&gt;&lt;td&gt;1&lt;/td&gt;&lt;td&gt;0&lt;/td&gt;&lt;td&gt;1&lt;/td&gt;&lt;td&gt;0&lt;/td&gt;&lt;td&gt;4&lt;/td&gt;&lt;td&gt;0.13&lt;/td&gt;&lt;td&gt;10&lt;/td&gt;&lt;td&gt;0.31&lt;/td&gt;&lt;/tr&gt;</v>
      </c>
    </row>
    <row r="43" spans="1:1" x14ac:dyDescent="0.3">
      <c r="A43" t="str">
        <f>AC2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4" spans="1:1" x14ac:dyDescent="0.3">
      <c r="A44" t="str">
        <f>AC19</f>
        <v>&lt;tr&gt;&lt;td&gt;Lewis&lt;/td&gt;&lt;td&gt;57&lt;/td&gt;&lt;td&gt;0&lt;/td&gt;&lt;td&gt;0&lt;/td&gt;&lt;td&gt;0&lt;/td&gt;&lt;td&gt;0&lt;/td&gt;&lt;td&gt;0&lt;/td&gt;&lt;td&gt;1&lt;/td&gt;&lt;td&gt;0&lt;/td&gt;&lt;td&gt;0&lt;/td&gt;&lt;td&gt;0&lt;/td&gt;&lt;td&gt;0&lt;/td&gt;&lt;td&gt;0&lt;/td&gt;&lt;td&gt;1&lt;/td&gt;&lt;td&gt;0.02&lt;/td&gt;&lt;td&gt;5&lt;/td&gt;&lt;td&gt;0.09&lt;/td&gt;&lt;/tr&gt;</v>
      </c>
    </row>
    <row r="45" spans="1:1" x14ac:dyDescent="0.3">
      <c r="A45" t="str">
        <f>AC17</f>
        <v>&lt;tr&gt;&lt;td&gt;Carpenter&lt;/td&gt;&lt;td&gt;79&lt;/td&gt;&lt;td&gt;0&lt;/td&gt;&lt;td&gt;0&lt;/td&gt;&lt;td&gt;0&lt;/td&gt;&lt;td&gt;2&lt;/td&gt;&lt;td&gt;0&lt;/td&gt;&lt;td&gt;1&lt;/td&gt;&lt;td&gt;1&lt;/td&gt;&lt;td&gt;1&lt;/td&gt;&lt;td&gt;4&lt;/td&gt;&lt;td&gt;0&lt;/td&gt;&lt;td&gt;0&lt;/td&gt;&lt;td&gt;9&lt;/td&gt;&lt;td&gt;0.11&lt;/td&gt;&lt;td&gt;21&lt;/td&gt;&lt;td&gt;0.27&lt;/td&gt;&lt;/tr&gt;</v>
      </c>
    </row>
    <row r="46" spans="1:1" x14ac:dyDescent="0.3">
      <c r="A46" t="str">
        <f>AC18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47" spans="1:1" x14ac:dyDescent="0.3">
      <c r="A47" t="str">
        <f>AC16</f>
        <v>&lt;tr&gt;&lt;td&gt;Eggett&lt;/td&gt;&lt;td&gt;24&lt;/td&gt;&lt;td&gt;0&lt;/td&gt;&lt;td&gt;0&lt;/td&gt;&lt;td&gt;0&lt;/td&gt;&lt;td&gt;0&lt;/td&gt;&lt;td&gt;0&lt;/td&gt;&lt;td&gt;0&lt;/td&gt;&lt;td&gt;0&lt;/td&gt;&lt;td&gt;0&lt;/td&gt;&lt;td&gt;1&lt;/td&gt;&lt;td&gt;0&lt;/td&gt;&lt;td&gt;0&lt;/td&gt;&lt;td&gt;1&lt;/td&gt;&lt;td&gt;0.04&lt;/td&gt;&lt;td&gt;2&lt;/td&gt;&lt;td&gt;0.08&lt;/td&gt;&lt;/tr&gt;</v>
      </c>
    </row>
    <row r="48" spans="1:1" x14ac:dyDescent="0.3">
      <c r="A48" t="str">
        <f>AC6</f>
        <v>&lt;tr&gt;&lt;td&gt;Wistrom&lt;/td&gt;&lt;td&gt;8&lt;/td&gt;&lt;td&gt;0&lt;/td&gt;&lt;td&gt;0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0" spans="1:1" x14ac:dyDescent="0.3">
      <c r="A50" t="str">
        <f>AT4</f>
        <v>&lt;tr&gt;&lt;td&gt;Makovicka&lt;/td&gt;&lt;td&gt;69&lt;/td&gt;&lt;td&gt;0&lt;/td&gt;&lt;td&gt;0&lt;/td&gt;&lt;td&gt;2&lt;/td&gt;&lt;td&gt;0&lt;/td&gt;&lt;td&gt;0&lt;/td&gt;&lt;td&gt;0&lt;/td&gt;&lt;td&gt;1&lt;/td&gt;&lt;td&gt;3&lt;/td&gt;&lt;td&gt;6&lt;/td&gt;&lt;td&gt;0.09&lt;/td&gt;&lt;td&gt;18&lt;/td&gt;&lt;td&gt;0.26&lt;/td&gt;&lt;/tr&gt;</v>
      </c>
    </row>
    <row r="51" spans="1:1" x14ac:dyDescent="0.3">
      <c r="A51" t="str">
        <f>AT15</f>
        <v>&lt;tr&gt;&lt;td&gt;Williams&lt;/td&gt;&lt;td&gt;90&lt;/td&gt;&lt;td&gt;0&lt;/td&gt;&lt;td&gt;3&lt;/td&gt;&lt;td&gt;2&lt;/td&gt;&lt;td&gt;2&lt;/td&gt;&lt;td&gt;3&lt;/td&gt;&lt;td&gt;1&lt;/td&gt;&lt;td&gt;7&lt;/td&gt;&lt;td&gt;8&lt;/td&gt;&lt;td&gt;26&lt;/td&gt;&lt;td&gt;0.29&lt;/td&gt;&lt;td&gt;34&lt;/td&gt;&lt;td&gt;0.38&lt;/td&gt;&lt;/tr&gt;</v>
      </c>
    </row>
    <row r="52" spans="1:1" x14ac:dyDescent="0.3">
      <c r="A52" t="str">
        <f>AT9</f>
        <v>&lt;tr&gt;&lt;td&gt;Guyott&lt;/td&gt;&lt;td&gt;90&lt;/td&gt;&lt;td&gt;1&lt;/td&gt;&lt;td&gt;4&lt;/td&gt;&lt;td&gt;3&lt;/td&gt;&lt;td&gt;0&lt;/td&gt;&lt;td&gt;1&lt;/td&gt;&lt;td&gt;1&lt;/td&gt;&lt;td&gt;9&lt;/td&gt;&lt;td&gt;5&lt;/td&gt;&lt;td&gt;24&lt;/td&gt;&lt;td&gt;0.27&lt;/td&gt;&lt;td&gt;33&lt;/td&gt;&lt;td&gt;0.37&lt;/td&gt;&lt;/tr&gt;</v>
      </c>
    </row>
    <row r="53" spans="1:1" x14ac:dyDescent="0.3">
      <c r="A53" t="str">
        <f>AT24</f>
        <v>&lt;tr&gt;&lt;td&gt;Sant&lt;/td&gt;&lt;td&gt;50&lt;/td&gt;&lt;td&gt;5&lt;/td&gt;&lt;td&gt;1&lt;/td&gt;&lt;td&gt;0&lt;/td&gt;&lt;td&gt;0&lt;/td&gt;&lt;td&gt;0&lt;/td&gt;&lt;td&gt;1&lt;/td&gt;&lt;td&gt;6&lt;/td&gt;&lt;td&gt;3&lt;/td&gt;&lt;td&gt;16&lt;/td&gt;&lt;td&gt;0.32&lt;/td&gt;&lt;td&gt;19&lt;/td&gt;&lt;td&gt;0.38&lt;/td&gt;&lt;/tr&gt;</v>
      </c>
    </row>
    <row r="54" spans="1:1" x14ac:dyDescent="0.3">
      <c r="A54" t="str">
        <f>AT12</f>
        <v>&lt;tr&gt;&lt;td&gt;Reda&lt;/td&gt;&lt;td&gt;86&lt;/td&gt;&lt;td&gt;4&lt;/td&gt;&lt;td&gt;0&lt;/td&gt;&lt;td&gt;0&lt;/td&gt;&lt;td&gt;0&lt;/td&gt;&lt;td&gt;0&lt;/td&gt;&lt;td&gt;0&lt;/td&gt;&lt;td&gt;1&lt;/td&gt;&lt;td&gt;3&lt;/td&gt;&lt;td&gt;8&lt;/td&gt;&lt;td&gt;0.09&lt;/td&gt;&lt;td&gt;14&lt;/td&gt;&lt;td&gt;0.16&lt;/td&gt;&lt;/tr&gt;</v>
      </c>
    </row>
    <row r="55" spans="1:1" x14ac:dyDescent="0.3">
      <c r="A55" t="str">
        <f>AT22</f>
        <v>&lt;tr&gt;&lt;td&gt;Borer&lt;/td&gt;&lt;td&gt;90&lt;/td&gt;&lt;td&gt;5&lt;/td&gt;&lt;td&gt;3&lt;/td&gt;&lt;td&gt;5&lt;/td&gt;&lt;td&gt;0&lt;/td&gt;&lt;td&gt;4&lt;/td&gt;&lt;td&gt;0&lt;/td&gt;&lt;td&gt;12&lt;/td&gt;&lt;td&gt;2&lt;/td&gt;&lt;td&gt;31&lt;/td&gt;&lt;td&gt;0.34&lt;/td&gt;&lt;td&gt;39&lt;/td&gt;&lt;td&gt;0.43&lt;/td&gt;&lt;/tr&gt;</v>
      </c>
    </row>
    <row r="56" spans="1:1" x14ac:dyDescent="0.3">
      <c r="A56" t="str">
        <f>AT3</f>
        <v>&lt;tr&gt;&lt;td&gt;Gerane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7" spans="1:1" x14ac:dyDescent="0.3">
      <c r="A57" t="str">
        <f>AT7</f>
        <v>&lt;tr&gt;&lt;td&gt;Donnelly&lt;/td&gt;&lt;td&gt;30&lt;/td&gt;&lt;td&gt;2&lt;/td&gt;&lt;td&gt;2&lt;/td&gt;&lt;td&gt;1&lt;/td&gt;&lt;td&gt;2&lt;/td&gt;&lt;td&gt;0&lt;/td&gt;&lt;td&gt;0&lt;/td&gt;&lt;td&gt;2&lt;/td&gt;&lt;td&gt;2&lt;/td&gt;&lt;td&gt;11&lt;/td&gt;&lt;td&gt;0.37&lt;/td&gt;&lt;td&gt;12&lt;/td&gt;&lt;td&gt;0.40&lt;/td&gt;&lt;/tr&gt;</v>
      </c>
    </row>
    <row r="58" spans="1:1" x14ac:dyDescent="0.3">
      <c r="A58" t="str">
        <f>AT8</f>
        <v>&lt;tr&gt;&lt;td&gt;Drozda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59" spans="1:1" x14ac:dyDescent="0.3">
      <c r="A59" t="str">
        <f>AT23</f>
        <v>&lt;tr&gt;&lt;td&gt;Sato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0" spans="1:1" x14ac:dyDescent="0.3">
      <c r="A60" t="str">
        <f>AT20</f>
        <v>&lt;tr&gt;&lt;td&gt;Mill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1" spans="1:1" x14ac:dyDescent="0.3">
      <c r="A61" t="str">
        <f>AT14</f>
        <v>&lt;tr&gt;&lt;td&gt;Sees&lt;/td&gt;&lt;td&gt;60&lt;/td&gt;&lt;td&gt;0&lt;/td&gt;&lt;td&gt;3&lt;/td&gt;&lt;td&gt;1&lt;/td&gt;&lt;td&gt;2&lt;/td&gt;&lt;td&gt;2&lt;/td&gt;&lt;td&gt;3&lt;/td&gt;&lt;td&gt;6&lt;/td&gt;&lt;td&gt;4&lt;/td&gt;&lt;td&gt;21&lt;/td&gt;&lt;td&gt;0.35&lt;/td&gt;&lt;td&gt;25&lt;/td&gt;&lt;td&gt;0.42&lt;/td&gt;&lt;/tr&gt;</v>
      </c>
    </row>
    <row r="62" spans="1:1" x14ac:dyDescent="0.3">
      <c r="A62" t="str">
        <f>AT21</f>
        <v>&lt;tr&gt;&lt;td&gt;Snowden&lt;/td&gt;&lt;td&gt;55&lt;/td&gt;&lt;td&gt;5&lt;/td&gt;&lt;td&gt;0&lt;/td&gt;&lt;td&gt;3&lt;/td&gt;&lt;td&gt;0&lt;/td&gt;&lt;td&gt;1&lt;/td&gt;&lt;td&gt;1&lt;/td&gt;&lt;td&gt;4&lt;/td&gt;&lt;td&gt;5&lt;/td&gt;&lt;td&gt;19&lt;/td&gt;&lt;td&gt;0.35&lt;/td&gt;&lt;td&gt;30&lt;/td&gt;&lt;td&gt;0.55&lt;/td&gt;&lt;/tr&gt;</v>
      </c>
    </row>
    <row r="63" spans="1:1" x14ac:dyDescent="0.3">
      <c r="A63" t="str">
        <f>AT11</f>
        <v>&lt;tr&gt;&lt;td&gt;Prososki&lt;/td&gt;&lt;td&gt;15&lt;/td&gt;&lt;td&gt;0&lt;/td&gt;&lt;td&gt;0&lt;/td&gt;&lt;td&gt;0&lt;/td&gt;&lt;td&gt;0&lt;/td&gt;&lt;td&gt;1&lt;/td&gt;&lt;td&gt;0&lt;/td&gt;&lt;td&gt;0&lt;/td&gt;&lt;td&gt;2&lt;/td&gt;&lt;td&gt;3&lt;/td&gt;&lt;td&gt;0.20&lt;/td&gt;&lt;td&gt;4&lt;/td&gt;&lt;td&gt;0.27&lt;/td&gt;&lt;/tr&gt;</v>
      </c>
    </row>
    <row r="64" spans="1:1" x14ac:dyDescent="0.3">
      <c r="A64" t="str">
        <f>AT13</f>
        <v>&lt;tr&gt;&lt;td&gt;Kiser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5" spans="1:23" x14ac:dyDescent="0.3">
      <c r="A65" t="str">
        <f>AT5</f>
        <v>&lt;tr&gt;&lt;td&gt;Bohonek&lt;/td&gt;&lt;td&gt;64&lt;/td&gt;&lt;td&gt;0&lt;/td&gt;&lt;td&gt;1&lt;/td&gt;&lt;td&gt;0&lt;/td&gt;&lt;td&gt;0&lt;/td&gt;&lt;td&gt;0&lt;/td&gt;&lt;td&gt;0&lt;/td&gt;&lt;td&gt;1&lt;/td&gt;&lt;td&gt;3&lt;/td&gt;&lt;td&gt;5&lt;/td&gt;&lt;td&gt;0.08&lt;/td&gt;&lt;td&gt;7&lt;/td&gt;&lt;td&gt;0.11&lt;/td&gt;&lt;/tr&gt;</v>
      </c>
    </row>
    <row r="66" spans="1:23" x14ac:dyDescent="0.3">
      <c r="A66" t="str">
        <f>AT10</f>
        <v>&lt;tr&gt;&lt;td&gt;Rudney&lt;/td&gt;&lt;td&gt;32&lt;/td&gt;&lt;td&gt;0&lt;/td&gt;&lt;td&gt;0&lt;/td&gt;&lt;td&gt;0&lt;/td&gt;&lt;td&gt;0&lt;/td&gt;&lt;td&gt;1&lt;/td&gt;&lt;td&gt;2&lt;/td&gt;&lt;td&gt;1&lt;/td&gt;&lt;td&gt;2&lt;/td&gt;&lt;td&gt;6&lt;/td&gt;&lt;td&gt;0.19&lt;/td&gt;&lt;td&gt;10&lt;/td&gt;&lt;td&gt;0.31&lt;/td&gt;&lt;/tr&gt;</v>
      </c>
    </row>
    <row r="67" spans="1:23" x14ac:dyDescent="0.3">
      <c r="A67" t="str">
        <f>AT2</f>
        <v>&lt;tr&gt;&lt;td&gt;Jones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68" spans="1:23" x14ac:dyDescent="0.3">
      <c r="A68" t="str">
        <f>AT19</f>
        <v>&lt;tr&gt;&lt;td&gt;Lewis&lt;/td&gt;&lt;td&gt;57&lt;/td&gt;&lt;td&gt;1&lt;/td&gt;&lt;td&gt;0&lt;/td&gt;&lt;td&gt;0&lt;/td&gt;&lt;td&gt;0&lt;/td&gt;&lt;td&gt;0&lt;/td&gt;&lt;td&gt;0&lt;/td&gt;&lt;td&gt;0&lt;/td&gt;&lt;td&gt;3&lt;/td&gt;&lt;td&gt;4&lt;/td&gt;&lt;td&gt;0.07&lt;/td&gt;&lt;td&gt;5&lt;/td&gt;&lt;td&gt;0.09&lt;/td&gt;&lt;/tr&gt;</v>
      </c>
    </row>
    <row r="69" spans="1:23" x14ac:dyDescent="0.3">
      <c r="A69" t="str">
        <f>AT17</f>
        <v>&lt;tr&gt;&lt;td&gt;Carpenter&lt;/td&gt;&lt;td&gt;79&lt;/td&gt;&lt;td&gt;5&lt;/td&gt;&lt;td&gt;1&lt;/td&gt;&lt;td&gt;1&lt;/td&gt;&lt;td&gt;1&lt;/td&gt;&lt;td&gt;0&lt;/td&gt;&lt;td&gt;0&lt;/td&gt;&lt;td&gt;1&lt;/td&gt;&lt;td&gt;3&lt;/td&gt;&lt;td&gt;12&lt;/td&gt;&lt;td&gt;0.15&lt;/td&gt;&lt;td&gt;21&lt;/td&gt;&lt;td&gt;0.27&lt;/td&gt;&lt;/tr&gt;</v>
      </c>
    </row>
    <row r="70" spans="1:23" x14ac:dyDescent="0.3">
      <c r="A70" t="str">
        <f>AT18</f>
        <v>&lt;tr&gt;&lt;td&gt;Cairone&lt;/td&gt;&lt;td&gt;0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1" spans="1:23" x14ac:dyDescent="0.3">
      <c r="A71" t="str">
        <f>AT16</f>
        <v>&lt;tr&gt;&lt;td&gt;Eggett&lt;/td&gt;&lt;td&gt;24&lt;/td&gt;&lt;td&gt;0&lt;/td&gt;&lt;td&gt;0&lt;/td&gt;&lt;td&gt;0&lt;/td&gt;&lt;td&gt;0&lt;/td&gt;&lt;td&gt;0&lt;/td&gt;&lt;td&gt;0&lt;/td&gt;&lt;td&gt;0&lt;/td&gt;&lt;td&gt;1&lt;/td&gt;&lt;td&gt;1&lt;/td&gt;&lt;td&gt;0.04&lt;/td&gt;&lt;td&gt;2&lt;/td&gt;&lt;td&gt;0.08&lt;/td&gt;&lt;/tr&gt;</v>
      </c>
    </row>
    <row r="72" spans="1:23" x14ac:dyDescent="0.3">
      <c r="A72" t="str">
        <f>AT6</f>
        <v>&lt;tr&gt;&lt;td&gt;Wistrom&lt;/td&gt;&lt;td&gt;8&lt;/td&gt;&lt;td&gt;0&lt;/td&gt;&lt;td&gt;0&lt;/td&gt;&lt;td&gt;0&lt;/td&gt;&lt;td&gt;0&lt;/td&gt;&lt;td&gt;0&lt;/td&gt;&lt;td&gt;0&lt;/td&gt;&lt;td&gt;0&lt;/td&gt;&lt;td&gt;0&lt;/td&gt;&lt;td&gt;0&lt;/td&gt;&lt;td&gt;0.00&lt;/td&gt;&lt;td&gt;0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69,</v>
      </c>
      <c r="B76" t="str">
        <f>"minutes: "&amp;$B$15&amp;","</f>
        <v>minutes: 90,</v>
      </c>
      <c r="C76" t="str">
        <f>"minutes: "&amp;$B$9&amp;","</f>
        <v>minutes: 90,</v>
      </c>
      <c r="D76" t="str">
        <f>"minutes: "&amp;$B$24&amp;","</f>
        <v>minutes: 50,</v>
      </c>
      <c r="E76" t="str">
        <f>"minutes: "&amp;$B$12&amp;","</f>
        <v>minutes: 86,</v>
      </c>
      <c r="F76" t="str">
        <f>"minutes: "&amp;$B$22&amp;","</f>
        <v>minutes: 90,</v>
      </c>
      <c r="G76" t="str">
        <f>"minutes: "&amp;$B$3&amp;","</f>
        <v>minutes: 0,</v>
      </c>
      <c r="H76" t="str">
        <f>"minutes: "&amp;$B$7&amp;","</f>
        <v>minutes: 30,</v>
      </c>
      <c r="I76" t="str">
        <f>"minutes: "&amp;$B$8&amp;","</f>
        <v>minutes: 0,</v>
      </c>
      <c r="J76" t="str">
        <f>"minutes: "&amp;$B$23&amp;","</f>
        <v>minutes: 0,</v>
      </c>
      <c r="K76" t="str">
        <f>"minutes: "&amp;$B$20&amp;","</f>
        <v>minutes: 0,</v>
      </c>
      <c r="L76" t="str">
        <f>"minutes: "&amp;$B$14&amp;","</f>
        <v>minutes: 60,</v>
      </c>
      <c r="M76" t="str">
        <f>"minutes: "&amp;$B$21&amp;","</f>
        <v>minutes: 55,</v>
      </c>
      <c r="N76" t="str">
        <f>"minutes: "&amp;$B$11&amp;","</f>
        <v>minutes: 15,</v>
      </c>
      <c r="O76" t="str">
        <f>"minutes: "&amp;$B$13&amp;","</f>
        <v>minutes: 0,</v>
      </c>
      <c r="P76" t="str">
        <f>"minutes: "&amp;$B$5&amp;","</f>
        <v>minutes: 64,</v>
      </c>
      <c r="Q76" t="str">
        <f>"minutes: "&amp;$B$10&amp;","</f>
        <v>minutes: 32,</v>
      </c>
      <c r="R76" t="str">
        <f>"minutes: "&amp;$B$2&amp;","</f>
        <v>minutes: 0,</v>
      </c>
      <c r="S76" t="str">
        <f>"minutes: "&amp;$B$19&amp;","</f>
        <v>minutes: 57,</v>
      </c>
      <c r="T76" t="str">
        <f>"minutes: "&amp;$B$17&amp;","</f>
        <v>minutes: 79,</v>
      </c>
      <c r="U76" t="str">
        <f>"minutes: "&amp;$B$18&amp;","</f>
        <v>minutes: 0,</v>
      </c>
      <c r="V76" t="str">
        <f>"minutes: "&amp;$B$16&amp;","</f>
        <v>minutes: 24,</v>
      </c>
      <c r="W76" t="str">
        <f>"minutes: "&amp;$B$6&amp;","</f>
        <v>minutes: 8,</v>
      </c>
    </row>
    <row r="77" spans="1:23" x14ac:dyDescent="0.3">
      <c r="A77" t="str">
        <f>"totalActions: "&amp;$Z$4&amp;","</f>
        <v>totalActions: 18,</v>
      </c>
      <c r="B77" t="str">
        <f>"totalActions: "&amp;$Z$15&amp;","</f>
        <v>totalActions: 34,</v>
      </c>
      <c r="C77" t="str">
        <f>"totalActions: "&amp;$Z$9&amp;","</f>
        <v>totalActions: 33,</v>
      </c>
      <c r="D77" t="str">
        <f>"totalActions: "&amp;$Z$24&amp;","</f>
        <v>totalActions: 19,</v>
      </c>
      <c r="E77" t="str">
        <f>"totalActions: "&amp;$Z$12&amp;","</f>
        <v>totalActions: 14,</v>
      </c>
      <c r="F77" t="str">
        <f>"totalActions: "&amp;$Z$22&amp;","</f>
        <v>totalActions: 39,</v>
      </c>
      <c r="G77" t="str">
        <f>"totalActions: "&amp;$Z$3&amp;","</f>
        <v>totalActions: 0,</v>
      </c>
      <c r="H77" t="str">
        <f>"totalActions: "&amp;$Z$7&amp;","</f>
        <v>totalActions: 12,</v>
      </c>
      <c r="I77" t="str">
        <f>"totalActions: "&amp;$Z$8&amp;","</f>
        <v>totalActions: 0,</v>
      </c>
      <c r="J77" t="str">
        <f>"totalActions: "&amp;$Z$23&amp;","</f>
        <v>totalActions: 0,</v>
      </c>
      <c r="K77" t="str">
        <f>"totalActions: "&amp;$Z$20&amp;","</f>
        <v>totalActions: 0,</v>
      </c>
      <c r="L77" t="str">
        <f>"totalActions: "&amp;$Z$14&amp;","</f>
        <v>totalActions: 25,</v>
      </c>
      <c r="M77" t="str">
        <f>"totalActions: "&amp;$Z$21&amp;","</f>
        <v>totalActions: 30,</v>
      </c>
      <c r="N77" t="str">
        <f>"totalActions: "&amp;$Z$11&amp;","</f>
        <v>totalActions: 4,</v>
      </c>
      <c r="O77" t="str">
        <f>"totalActions: "&amp;$Z$13&amp;","</f>
        <v>totalActions: 0,</v>
      </c>
      <c r="P77" t="str">
        <f>"totalActions: "&amp;$Z$5&amp;","</f>
        <v>totalActions: 7,</v>
      </c>
      <c r="Q77" t="str">
        <f>"totalActions: "&amp;$Z$10&amp;","</f>
        <v>totalActions: 10,</v>
      </c>
      <c r="R77" t="str">
        <f>"totalActions: "&amp;$Z$2&amp;","</f>
        <v>totalActions: 0,</v>
      </c>
      <c r="S77" t="str">
        <f>"totalActions: "&amp;$Z$19&amp;","</f>
        <v>totalActions: 5,</v>
      </c>
      <c r="T77" t="str">
        <f>"totalActions: "&amp;$Z$17&amp;","</f>
        <v>totalActions: 21,</v>
      </c>
      <c r="U77" t="str">
        <f>"totalActions: "&amp;$Z$18&amp;","</f>
        <v>totalActions: 0,</v>
      </c>
      <c r="V77" t="str">
        <f>"totalActions: "&amp;$Z$16&amp;","</f>
        <v>totalActions: 2,</v>
      </c>
      <c r="W77" t="str">
        <f>"totalActions: "&amp;$Z$6&amp;","</f>
        <v>totalActions: 0,</v>
      </c>
    </row>
    <row r="78" spans="1:23" x14ac:dyDescent="0.3">
      <c r="A78" t="str">
        <f>"actionsPerMinute: "&amp;TEXT($AA$4,"0.00")&amp;","</f>
        <v>actionsPerMinute: 0.26,</v>
      </c>
      <c r="B78" t="str">
        <f>"actionsPerMinute: "&amp;TEXT($AA$15,"0.00")&amp;","</f>
        <v>actionsPerMinute: 0.38,</v>
      </c>
      <c r="C78" t="str">
        <f>"actionsPerMinute: "&amp;TEXT($AA$9,"0.00")&amp;","</f>
        <v>actionsPerMinute: 0.37,</v>
      </c>
      <c r="D78" t="str">
        <f>"actionsPerMinute: "&amp;TEXT($AA$24,"0.00")&amp;","</f>
        <v>actionsPerMinute: 0.38,</v>
      </c>
      <c r="E78" t="str">
        <f>"actionsPerMinute: "&amp;TEXT($AA$12,"0.00")&amp;","</f>
        <v>actionsPerMinute: 0.16,</v>
      </c>
      <c r="F78" t="str">
        <f>"actionsPerMinute: "&amp;TEXT($AA$22,"0.00")&amp;","</f>
        <v>actionsPerMinute: 0.43,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0.40,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0.42,</v>
      </c>
      <c r="M78" t="str">
        <f>"actionsPerMinute: "&amp;TEXT($AA$21,"0.00")&amp;","</f>
        <v>actionsPerMinute: 0.55,</v>
      </c>
      <c r="N78" t="str">
        <f>"actionsPerMinute: "&amp;TEXT($AA$11,"0.00")&amp;","</f>
        <v>actionsPerMinute: 0.27,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0.11,</v>
      </c>
      <c r="Q78" t="str">
        <f>"actionsPerMinute: "&amp;TEXT($AA$10,"0.00")&amp;","</f>
        <v>actionsPerMinute: 0.31,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0.09,</v>
      </c>
      <c r="T78" t="str">
        <f>"actionsPerMinute: "&amp;TEXT($AA$17,"0.00")&amp;","</f>
        <v>actionsPerMinute: 0.27,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0.08,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12,</v>
      </c>
      <c r="B81" t="str">
        <f>"totalActions: "&amp;$N$15&amp;","</f>
        <v>totalActions: 8,</v>
      </c>
      <c r="C81" t="str">
        <f>"totalActions: "&amp;$N$9&amp;","</f>
        <v>totalActions: 9,</v>
      </c>
      <c r="D81" t="str">
        <f>"totalActions: "&amp;$N$24&amp;","</f>
        <v>totalActions: 3,</v>
      </c>
      <c r="E81" t="str">
        <f>"totalActions: "&amp;$N$12&amp;","</f>
        <v>totalActions: 6,</v>
      </c>
      <c r="F81" t="str">
        <f>"totalActions: "&amp;$N$22&amp;","</f>
        <v>totalActions: 8,</v>
      </c>
      <c r="G81" t="str">
        <f>"totalActions: "&amp;$N$3&amp;","</f>
        <v>totalActions: 0,</v>
      </c>
      <c r="H81" t="str">
        <f>"totalActions: "&amp;$N$7&amp;","</f>
        <v>totalActions: 1,</v>
      </c>
      <c r="I81" t="str">
        <f>"totalActions: "&amp;$N$8&amp;","</f>
        <v>totalActions: 0,</v>
      </c>
      <c r="J81" t="str">
        <f>"totalActions: "&amp;$N$23&amp;","</f>
        <v>totalActions: 0,</v>
      </c>
      <c r="K81" t="str">
        <f>"totalActions: "&amp;$N$20&amp;","</f>
        <v>totalActions: 0,</v>
      </c>
      <c r="L81" t="str">
        <f>"totalActions: "&amp;$N$14&amp;","</f>
        <v>totalActions: 4,</v>
      </c>
      <c r="M81" t="str">
        <f>"totalActions: "&amp;$N$21&amp;","</f>
        <v>totalActions: 11,</v>
      </c>
      <c r="N81" t="str">
        <f>"totalActions: "&amp;$N$11&amp;","</f>
        <v>totalActions: 1,</v>
      </c>
      <c r="O81" t="str">
        <f>"totalActions: "&amp;$N$13&amp;","</f>
        <v>totalActions: 0,</v>
      </c>
      <c r="P81" t="str">
        <f>"totalActions: "&amp;$N$5&amp;","</f>
        <v>totalActions: 2,</v>
      </c>
      <c r="Q81" t="str">
        <f>"totalActions: "&amp;$N$10&amp;","</f>
        <v>totalActions: 4,</v>
      </c>
      <c r="R81" t="str">
        <f>"totalActions: "&amp;$N$2&amp;","</f>
        <v>totalActions: 0,</v>
      </c>
      <c r="S81" t="str">
        <f>"totalActions: "&amp;$N$19&amp;","</f>
        <v>totalActions: 1,</v>
      </c>
      <c r="T81" t="str">
        <f>"totalActions: "&amp;$N$17&amp;","</f>
        <v>totalActions: 9,</v>
      </c>
      <c r="U81" t="str">
        <f>"totalActions: "&amp;$N$18&amp;","</f>
        <v>totalActions: 0,</v>
      </c>
      <c r="V81" t="str">
        <f>"totalActions: "&amp;$N$16&amp;","</f>
        <v>totalActions: 1,</v>
      </c>
      <c r="W81" t="str">
        <f>"totalActions: "&amp;$N$6&amp;","</f>
        <v>totalActions: 0,</v>
      </c>
    </row>
    <row r="82" spans="1:23" x14ac:dyDescent="0.3">
      <c r="A82" t="str">
        <f>"actionsPerMinute: "&amp;TEXT($O$4,"0.00")&amp;","</f>
        <v>actionsPerMinute: 0.17,</v>
      </c>
      <c r="B82" t="str">
        <f>"actionsPerMinute: "&amp;TEXT($O$15,"0.00")&amp;","</f>
        <v>actionsPerMinute: 0.09,</v>
      </c>
      <c r="C82" t="str">
        <f>"actionsPerMinute: "&amp;TEXT($O$9,"0.00")&amp;","</f>
        <v>actionsPerMinute: 0.10,</v>
      </c>
      <c r="D82" t="str">
        <f>"actionsPerMinute: "&amp;TEXT($O$24,"0.00")&amp;","</f>
        <v>actionsPerMinute: 0.06,</v>
      </c>
      <c r="E82" t="str">
        <f>"actionsPerMinute: "&amp;TEXT($O$12,"0.00")&amp;","</f>
        <v>actionsPerMinute: 0.07,</v>
      </c>
      <c r="F82" t="str">
        <f>"actionsPerMinute: "&amp;TEXT($O$22,"0.00")&amp;","</f>
        <v>actionsPerMinute: 0.09,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0.03,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0.07,</v>
      </c>
      <c r="M82" t="str">
        <f>"actionsPerMinute: "&amp;TEXT($O$21,"0.00")&amp;","</f>
        <v>actionsPerMinute: 0.20,</v>
      </c>
      <c r="N82" t="str">
        <f>"actionsPerMinute: "&amp;TEXT($O$11,"0.00")&amp;","</f>
        <v>actionsPerMinute: 0.07,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0.03,</v>
      </c>
      <c r="Q82" t="str">
        <f>"actionsPerMinute: "&amp;TEXT($O$10,"0.00")&amp;","</f>
        <v>actionsPerMinute: 0.13,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0.02,</v>
      </c>
      <c r="T82" t="str">
        <f>"actionsPerMinute: "&amp;TEXT($O$17,"0.00")&amp;","</f>
        <v>actionsPerMinute: 0.11,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0.04,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0,</v>
      </c>
      <c r="B83" t="str">
        <f>"goals: "&amp;$C$15&amp;","</f>
        <v>goals: 0,</v>
      </c>
      <c r="C83" t="str">
        <f>"goals: "&amp;$C$9&amp;","</f>
        <v>goals: 0,</v>
      </c>
      <c r="D83" t="str">
        <f>"goals: "&amp;$C$24&amp;","</f>
        <v>goals: 0,</v>
      </c>
      <c r="E83" t="str">
        <f>"goals: "&amp;$C$12&amp;","</f>
        <v>goals: 0,</v>
      </c>
      <c r="F83" t="str">
        <f>"goals: "&amp;$C$22&amp;","</f>
        <v>goals: 1,</v>
      </c>
      <c r="G83" t="str">
        <f>"goals: "&amp;$C$3&amp;","</f>
        <v>goals: 0,</v>
      </c>
      <c r="H83" t="str">
        <f>"goals: "&amp;$C$7&amp;","</f>
        <v>goals: 0,</v>
      </c>
      <c r="I83" t="str">
        <f>"goals: "&amp;$C$8&amp;","</f>
        <v>goals: 0,</v>
      </c>
      <c r="J83" t="str">
        <f>"goals: "&amp;$C$23&amp;","</f>
        <v>goals: 0,</v>
      </c>
      <c r="K83" t="str">
        <f>"goals: "&amp;$C$20&amp;","</f>
        <v>goals: 0,</v>
      </c>
      <c r="L83" t="str">
        <f>"goals: "&amp;$C$14&amp;","</f>
        <v>goals: 0,</v>
      </c>
      <c r="M83" t="str">
        <f>"goals: "&amp;$C$21&amp;","</f>
        <v>goals: 0,</v>
      </c>
      <c r="N83" t="str">
        <f>"goals: "&amp;$C$11&amp;","</f>
        <v>goals: 0,</v>
      </c>
      <c r="O83" t="str">
        <f>"goals: "&amp;$C$13&amp;","</f>
        <v>goals: 0,</v>
      </c>
      <c r="P83" t="str">
        <f>"goals: "&amp;$C$5&amp;","</f>
        <v>goals: 0,</v>
      </c>
      <c r="Q83" t="str">
        <f>"goals: "&amp;$C$10&amp;","</f>
        <v>goals: 0,</v>
      </c>
      <c r="R83" t="str">
        <f>"goals: "&amp;$C$2&amp;","</f>
        <v>goals: 0,</v>
      </c>
      <c r="S83" t="str">
        <f>"goals: "&amp;$C$19&amp;","</f>
        <v>goals: 0,</v>
      </c>
      <c r="T83" t="str">
        <f>"goals: "&amp;$C$17&amp;","</f>
        <v>goals: 0,</v>
      </c>
      <c r="U83" t="str">
        <f>"goals: "&amp;$C$18&amp;","</f>
        <v>goals: 0,</v>
      </c>
      <c r="V83" t="str">
        <f>"goals: "&amp;$C$16&amp;","</f>
        <v>goals: 0,</v>
      </c>
      <c r="W83" t="str">
        <f>"goals: "&amp;$C$6&amp;","</f>
        <v>goals: 0,</v>
      </c>
    </row>
    <row r="84" spans="1:23" x14ac:dyDescent="0.3">
      <c r="A84" t="str">
        <f>"assists: "&amp;$D$4&amp;","</f>
        <v>assists: 0,</v>
      </c>
      <c r="B84" t="str">
        <f>"assists: "&amp;$D$15&amp;","</f>
        <v>assists: 1,</v>
      </c>
      <c r="C84" t="str">
        <f>"assists: "&amp;$D$9&amp;","</f>
        <v>assists: 0,</v>
      </c>
      <c r="D84" t="str">
        <f>"assists: "&amp;$D$24&amp;","</f>
        <v>assists: 0,</v>
      </c>
      <c r="E84" t="str">
        <f>"assists: "&amp;$D$12&amp;","</f>
        <v>assists: 0,</v>
      </c>
      <c r="F84" t="str">
        <f>"assists: "&amp;$D$22&amp;","</f>
        <v>assists: 0,</v>
      </c>
      <c r="G84" t="str">
        <f>"assists: "&amp;$D$3&amp;","</f>
        <v>assists: 0,</v>
      </c>
      <c r="H84" t="str">
        <f>"assists: "&amp;$D$7&amp;","</f>
        <v>assists: 0,</v>
      </c>
      <c r="I84" t="str">
        <f>"assists: "&amp;$D$8&amp;","</f>
        <v>assists: 0,</v>
      </c>
      <c r="J84" t="str">
        <f>"assists: "&amp;$D$23&amp;","</f>
        <v>assists: 0,</v>
      </c>
      <c r="K84" t="str">
        <f>"assists: "&amp;$D$20&amp;","</f>
        <v>assists: 0,</v>
      </c>
      <c r="L84" t="str">
        <f>"assists: "&amp;$D$14&amp;","</f>
        <v>assists: 0,</v>
      </c>
      <c r="M84" t="str">
        <f>"assists: "&amp;$D$21&amp;","</f>
        <v>assists: 0,</v>
      </c>
      <c r="N84" t="str">
        <f>"assists: "&amp;$D$11&amp;","</f>
        <v>assists: 0,</v>
      </c>
      <c r="O84" t="str">
        <f>"assists: "&amp;$D$13&amp;","</f>
        <v>assists: 0,</v>
      </c>
      <c r="P84" t="str">
        <f>"assists: "&amp;$D$5&amp;","</f>
        <v>assists: 0,</v>
      </c>
      <c r="Q84" t="str">
        <f>"assists: "&amp;$D$10&amp;","</f>
        <v>assists: 0,</v>
      </c>
      <c r="R84" t="str">
        <f>"assists: "&amp;$D$2&amp;","</f>
        <v>assists: 0,</v>
      </c>
      <c r="S84" t="str">
        <f>"assists: "&amp;$D$19&amp;","</f>
        <v>assists: 0,</v>
      </c>
      <c r="T84" t="str">
        <f>"assists: "&amp;$D$17&amp;","</f>
        <v>assists: 0,</v>
      </c>
      <c r="U84" t="str">
        <f>"assists: "&amp;$D$18&amp;","</f>
        <v>assists: 0,</v>
      </c>
      <c r="V84" t="str">
        <f>"assists: "&amp;$D$16&amp;","</f>
        <v>assists: 0,</v>
      </c>
      <c r="W84" t="str">
        <f>"assists: "&amp;$D$6&amp;","</f>
        <v>assists: 0,</v>
      </c>
    </row>
    <row r="85" spans="1:23" x14ac:dyDescent="0.3">
      <c r="A85" t="str">
        <f>"keyPasses: "&amp;$E$4&amp;","</f>
        <v>keyPasses: 0,</v>
      </c>
      <c r="B85" t="str">
        <f>"keyPasses: "&amp;$E$15&amp;","</f>
        <v>keyPasses: 1,</v>
      </c>
      <c r="C85" t="str">
        <f>"keyPasses: "&amp;$E$9&amp;","</f>
        <v>keyPasses: 0,</v>
      </c>
      <c r="D85" t="str">
        <f>"keyPasses: "&amp;$E$24&amp;","</f>
        <v>keyPasses: 0,</v>
      </c>
      <c r="E85" t="str">
        <f>"keyPasses: "&amp;$E$12&amp;","</f>
        <v>keyPasses: 0,</v>
      </c>
      <c r="F85" t="str">
        <f>"keyPasses: "&amp;$E$22&amp;","</f>
        <v>keyPasses: 0,</v>
      </c>
      <c r="G85" t="str">
        <f>"keyPasses: "&amp;$E$3&amp;","</f>
        <v>keyPasses: 0,</v>
      </c>
      <c r="H85" t="str">
        <f>"keyPasses: "&amp;$E$7&amp;","</f>
        <v>keyPasses: 0,</v>
      </c>
      <c r="I85" t="str">
        <f>"keyPasses: "&amp;$E$8&amp;","</f>
        <v>keyPasses: 0,</v>
      </c>
      <c r="J85" t="str">
        <f>"keyPasses: "&amp;$E$23&amp;","</f>
        <v>keyPasses: 0,</v>
      </c>
      <c r="K85" t="str">
        <f>"keyPasses: "&amp;$E$20&amp;","</f>
        <v>keyPasses: 0,</v>
      </c>
      <c r="L85" t="str">
        <f>"keyPasses: "&amp;$E$14&amp;","</f>
        <v>keyPasses: 0,</v>
      </c>
      <c r="M85" t="str">
        <f>"keyPasses: "&amp;$E$21&amp;","</f>
        <v>keyPasses: 0,</v>
      </c>
      <c r="N85" t="str">
        <f>"keyPasses: "&amp;$E$11&amp;","</f>
        <v>keyPasses: 0,</v>
      </c>
      <c r="O85" t="str">
        <f>"keyPasses: "&amp;$E$13&amp;","</f>
        <v>keyPasses: 0,</v>
      </c>
      <c r="P85" t="str">
        <f>"keyPasses: "&amp;$E$5&amp;","</f>
        <v>keyPasses: 0,</v>
      </c>
      <c r="Q85" t="str">
        <f>"keyPasses: "&amp;$E$10&amp;","</f>
        <v>keyPasses: 0,</v>
      </c>
      <c r="R85" t="str">
        <f>"keyPasses: "&amp;$E$2&amp;","</f>
        <v>keyPasses: 0,</v>
      </c>
      <c r="S85" t="str">
        <f>"keyPasses: "&amp;$E$19&amp;","</f>
        <v>keyPasses: 0,</v>
      </c>
      <c r="T85" t="str">
        <f>"keyPasses: "&amp;$E$17&amp;","</f>
        <v>keyPasses: 0,</v>
      </c>
      <c r="U85" t="str">
        <f>"keyPasses: "&amp;$E$18&amp;","</f>
        <v>keyPasses: 0,</v>
      </c>
      <c r="V85" t="str">
        <f>"keyPasses: "&amp;$E$16&amp;","</f>
        <v>keyPasses: 0,</v>
      </c>
      <c r="W85" t="str">
        <f>"keyPasses: "&amp;$E$6&amp;","</f>
        <v>keyPasses: 0,</v>
      </c>
    </row>
    <row r="86" spans="1:23" x14ac:dyDescent="0.3">
      <c r="A86" t="str">
        <f>"outplayFwd: "&amp;$G$4&amp;","</f>
        <v>outplayFwd: 1,</v>
      </c>
      <c r="B86" t="str">
        <f>"outplayFwd: "&amp;$G$15&amp;","</f>
        <v>outplayFwd: 0,</v>
      </c>
      <c r="C86" t="str">
        <f>"outplayFwd: "&amp;$G$9&amp;","</f>
        <v>outplayFwd: 0,</v>
      </c>
      <c r="D86" t="str">
        <f>"outplayFwd: "&amp;$G$24&amp;","</f>
        <v>outplayFwd: 0,</v>
      </c>
      <c r="E86" t="str">
        <f>"outplayFwd: "&amp;$G$12&amp;","</f>
        <v>outplayFwd: 0,</v>
      </c>
      <c r="F86" t="str">
        <f>"outplayFwd: "&amp;$G$22&amp;","</f>
        <v>outplayFwd: 0,</v>
      </c>
      <c r="G86" t="str">
        <f>"outplayFwd: "&amp;$G$3&amp;","</f>
        <v>outplayFwd: 0,</v>
      </c>
      <c r="H86" t="str">
        <f>"outplayFwd: "&amp;$G$7&amp;","</f>
        <v>outplayFwd: 0,</v>
      </c>
      <c r="I86" t="str">
        <f>"outplayFwd: "&amp;$G$8&amp;","</f>
        <v>outplayFwd: 0,</v>
      </c>
      <c r="J86" t="str">
        <f>"outplayFwd: "&amp;$G$23&amp;","</f>
        <v>outplayFwd: 0,</v>
      </c>
      <c r="K86" t="str">
        <f>"outplayFwd: "&amp;$G$20&amp;","</f>
        <v>outplayFwd: 0,</v>
      </c>
      <c r="L86" t="str">
        <f>"outplayFwd: "&amp;$G$14&amp;","</f>
        <v>outplayFwd: 0,</v>
      </c>
      <c r="M86" t="str">
        <f>"outplayFwd: "&amp;$G$21&amp;","</f>
        <v>outplayFwd: 1,</v>
      </c>
      <c r="N86" t="str">
        <f>"outplayFwd: "&amp;$G$11&amp;","</f>
        <v>outplayFwd: 0,</v>
      </c>
      <c r="O86" t="str">
        <f>"outplayFwd: "&amp;$G$13&amp;","</f>
        <v>outplayFwd: 0,</v>
      </c>
      <c r="P86" t="str">
        <f>"outplayFwd: "&amp;$G$5&amp;","</f>
        <v>outplayFwd: 1,</v>
      </c>
      <c r="Q86" t="str">
        <f>"outplayFwd: "&amp;$G$10&amp;","</f>
        <v>outplayFwd: 0,</v>
      </c>
      <c r="R86" t="str">
        <f>"outplayFwd: "&amp;$G$2&amp;","</f>
        <v>outplayFwd: 0,</v>
      </c>
      <c r="S86" t="str">
        <f>"outplayFwd: "&amp;$G$19&amp;","</f>
        <v>outplayFwd: 0,</v>
      </c>
      <c r="T86" t="str">
        <f>"outplayFwd: "&amp;$G$17&amp;","</f>
        <v>outplayFwd: 0,</v>
      </c>
      <c r="U86" t="str">
        <f>"outplayFwd: "&amp;$G$18&amp;","</f>
        <v>outplayFwd: 0,</v>
      </c>
      <c r="V86" t="str">
        <f>"outplayFwd: "&amp;$G$16&amp;","</f>
        <v>outplayFwd: 0,</v>
      </c>
      <c r="W86" t="str">
        <f>"outplayFwd: "&amp;$G$6&amp;","</f>
        <v>outplayFwd: 0,</v>
      </c>
    </row>
    <row r="87" spans="1:23" x14ac:dyDescent="0.3">
      <c r="A87" t="str">
        <f>"effectiveCrosses: "&amp;$H$4&amp;","</f>
        <v>effectiveCrosses: 0,</v>
      </c>
      <c r="B87" t="str">
        <f>"effectiveCrosses: "&amp;$H$15&amp;","</f>
        <v>effectiveCrosses: 0,</v>
      </c>
      <c r="C87" t="str">
        <f>"effectiveCrosses: "&amp;$H$9&amp;","</f>
        <v>effectiveCrosses: 0,</v>
      </c>
      <c r="D87" t="str">
        <f>"effectiveCrosses: "&amp;$H$24&amp;","</f>
        <v>effectiveCrosses: 1,</v>
      </c>
      <c r="E87" t="str">
        <f>"effectiveCrosses: "&amp;$H$12&amp;","</f>
        <v>effectiveCrosses: 0,</v>
      </c>
      <c r="F87" t="str">
        <f>"effectiveCrosses: "&amp;$H$22&amp;","</f>
        <v>effectiveCrosses: 0,</v>
      </c>
      <c r="G87" t="str">
        <f>"effectiveCrosses: "&amp;$H$3&amp;","</f>
        <v>effectiveCrosses: 0,</v>
      </c>
      <c r="H87" t="str">
        <f>"effectiveCrosses: "&amp;$H$7&amp;","</f>
        <v>effectiveCrosses: 0,</v>
      </c>
      <c r="I87" t="str">
        <f>"effectiveCrosses: "&amp;$H$8&amp;","</f>
        <v>effectiveCrosses: 0,</v>
      </c>
      <c r="J87" t="str">
        <f>"effectiveCrosses: "&amp;$H$23&amp;","</f>
        <v>effectiveCrosses: 0,</v>
      </c>
      <c r="K87" t="str">
        <f>"effectiveCrosses: "&amp;$H$20&amp;","</f>
        <v>effectiveCrosses: 0,</v>
      </c>
      <c r="L87" t="str">
        <f>"effectiveCrosses: "&amp;$H$14&amp;","</f>
        <v>effectiveCrosses: 2,</v>
      </c>
      <c r="M87" t="str">
        <f>"effectiveCrosses: "&amp;$H$21&amp;","</f>
        <v>effectiveCrosses: 0,</v>
      </c>
      <c r="N87" t="str">
        <f>"effectiveCrosses: "&amp;$H$11&amp;","</f>
        <v>effectiveCrosses: 0,</v>
      </c>
      <c r="O87" t="str">
        <f>"effectiveCrosses: "&amp;$H$13&amp;","</f>
        <v>effectiveCrosses: 0,</v>
      </c>
      <c r="P87" t="str">
        <f>"effectiveCrosses: "&amp;$H$5&amp;","</f>
        <v>effectiveCrosses: 0,</v>
      </c>
      <c r="Q87" t="str">
        <f>"effectiveCrosses: "&amp;$H$10&amp;","</f>
        <v>effectiveCrosses: 0,</v>
      </c>
      <c r="R87" t="str">
        <f>"effectiveCrosses: "&amp;$H$2&amp;","</f>
        <v>effectiveCrosses: 0,</v>
      </c>
      <c r="S87" t="str">
        <f>"effectiveCrosses: "&amp;$H$19&amp;","</f>
        <v>effectiveCrosses: 1,</v>
      </c>
      <c r="T87" t="str">
        <f>"effectiveCrosses: "&amp;$H$17&amp;","</f>
        <v>effectiveCrosses: 1,</v>
      </c>
      <c r="U87" t="str">
        <f>"effectiveCrosses: "&amp;$H$18&amp;","</f>
        <v>effectiveCrosses: 0,</v>
      </c>
      <c r="V87" t="str">
        <f>"effectiveCrosses: "&amp;$H$16&amp;","</f>
        <v>effectiveCrosses: 0,</v>
      </c>
      <c r="W87" t="str">
        <f>"effectiveCrosses: "&amp;$H$6&amp;","</f>
        <v>effectiveCrosses: 0,</v>
      </c>
    </row>
    <row r="88" spans="1:23" x14ac:dyDescent="0.3">
      <c r="A88" t="str">
        <f>"oneVOnes: "&amp;$I$4&amp;","</f>
        <v>oneVOnes: 0,</v>
      </c>
      <c r="B88" t="str">
        <f>"oneVOnes: "&amp;$I$15&amp;","</f>
        <v>oneVOnes: 0,</v>
      </c>
      <c r="C88" t="str">
        <f>"oneVOnes: "&amp;$I$9&amp;","</f>
        <v>oneVOnes: 2,</v>
      </c>
      <c r="D88" t="str">
        <f>"oneVOnes: "&amp;$I$24&amp;","</f>
        <v>oneVOnes: 1,</v>
      </c>
      <c r="E88" t="str">
        <f>"oneVOnes: "&amp;$I$12&amp;","</f>
        <v>oneVOnes: 4,</v>
      </c>
      <c r="F88" t="str">
        <f>"oneVOnes: "&amp;$I$22&amp;","</f>
        <v>oneVOnes: 0,</v>
      </c>
      <c r="G88" t="str">
        <f>"oneVOnes: "&amp;$I$3&amp;","</f>
        <v>oneVOnes: 0,</v>
      </c>
      <c r="H88" t="str">
        <f>"oneVOnes: "&amp;$I$7&amp;","</f>
        <v>oneVOnes: 0,</v>
      </c>
      <c r="I88" t="str">
        <f>"oneVOnes: "&amp;$I$8&amp;","</f>
        <v>oneVOnes: 0,</v>
      </c>
      <c r="J88" t="str">
        <f>"oneVOnes: "&amp;$I$23&amp;","</f>
        <v>oneVOnes: 0,</v>
      </c>
      <c r="K88" t="str">
        <f>"oneVOnes: "&amp;$I$20&amp;","</f>
        <v>oneVOnes: 0,</v>
      </c>
      <c r="L88" t="str">
        <f>"oneVOnes: "&amp;$I$14&amp;","</f>
        <v>oneVOnes: 0,</v>
      </c>
      <c r="M88" t="str">
        <f>"oneVOnes: "&amp;$I$21&amp;","</f>
        <v>oneVOnes: 1,</v>
      </c>
      <c r="N88" t="str">
        <f>"oneVOnes: "&amp;$I$11&amp;","</f>
        <v>oneVOnes: 0,</v>
      </c>
      <c r="O88" t="str">
        <f>"oneVOnes: "&amp;$I$13&amp;","</f>
        <v>oneVOnes: 0,</v>
      </c>
      <c r="P88" t="str">
        <f>"oneVOnes: "&amp;$I$5&amp;","</f>
        <v>oneVOnes: 0,</v>
      </c>
      <c r="Q88" t="str">
        <f>"oneVOnes: "&amp;$I$10&amp;","</f>
        <v>oneVOnes: 0,</v>
      </c>
      <c r="R88" t="str">
        <f>"oneVOnes: "&amp;$I$2&amp;","</f>
        <v>oneVOnes: 0,</v>
      </c>
      <c r="S88" t="str">
        <f>"oneVOnes: "&amp;$I$19&amp;","</f>
        <v>oneVOnes: 0,</v>
      </c>
      <c r="T88" t="str">
        <f>"oneVOnes: "&amp;$I$17&amp;","</f>
        <v>oneVOnes: 1,</v>
      </c>
      <c r="U88" t="str">
        <f>"oneVOnes: "&amp;$I$18&amp;","</f>
        <v>oneVOnes: 0,</v>
      </c>
      <c r="V88" t="str">
        <f>"oneVOnes: "&amp;$I$16&amp;","</f>
        <v>oneVOnes: 0,</v>
      </c>
      <c r="W88" t="str">
        <f>"oneVOnes: "&amp;$I$6&amp;","</f>
        <v>oneVOnes: 0,</v>
      </c>
    </row>
    <row r="89" spans="1:23" x14ac:dyDescent="0.3">
      <c r="A89" t="str">
        <f>"headers: "&amp;$J$4&amp;","</f>
        <v>headers: 8,</v>
      </c>
      <c r="B89" t="str">
        <f>"headers: "&amp;$J$15&amp;","</f>
        <v>headers: 0,</v>
      </c>
      <c r="C89" t="str">
        <f>"headers: "&amp;$J$9&amp;","</f>
        <v>headers: 0,</v>
      </c>
      <c r="D89" t="str">
        <f>"headers: "&amp;$J$24&amp;","</f>
        <v>headers: 0,</v>
      </c>
      <c r="E89" t="str">
        <f>"headers: "&amp;$J$12&amp;","</f>
        <v>headers: 0,</v>
      </c>
      <c r="F89" t="str">
        <f>"headers: "&amp;$J$22&amp;","</f>
        <v>headers: 2,</v>
      </c>
      <c r="G89" t="str">
        <f>"headers: "&amp;$J$3&amp;","</f>
        <v>headers: 0,</v>
      </c>
      <c r="H89" t="str">
        <f>"headers: "&amp;$J$7&amp;","</f>
        <v>headers: 0,</v>
      </c>
      <c r="I89" t="str">
        <f>"headers: "&amp;$J$8&amp;","</f>
        <v>headers: 0,</v>
      </c>
      <c r="J89" t="str">
        <f>"headers: "&amp;$J$23&amp;","</f>
        <v>headers: 0,</v>
      </c>
      <c r="K89" t="str">
        <f>"headers: "&amp;$J$20&amp;","</f>
        <v>headers: 0,</v>
      </c>
      <c r="L89" t="str">
        <f>"headers: "&amp;$J$14&amp;","</f>
        <v>headers: 0,</v>
      </c>
      <c r="M89" t="str">
        <f>"headers: "&amp;$J$21&amp;","</f>
        <v>headers: 4,</v>
      </c>
      <c r="N89" t="str">
        <f>"headers: "&amp;$J$11&amp;","</f>
        <v>headers: 1,</v>
      </c>
      <c r="O89" t="str">
        <f>"headers: "&amp;$J$13&amp;","</f>
        <v>headers: 0,</v>
      </c>
      <c r="P89" t="str">
        <f>"headers: "&amp;$J$5&amp;","</f>
        <v>headers: 1,</v>
      </c>
      <c r="Q89" t="str">
        <f>"headers: "&amp;$J$10&amp;","</f>
        <v>headers: 1,</v>
      </c>
      <c r="R89" t="str">
        <f>"headers: "&amp;$J$2&amp;","</f>
        <v>headers: 0,</v>
      </c>
      <c r="S89" t="str">
        <f>"headers: "&amp;$J$19&amp;","</f>
        <v>headers: 0,</v>
      </c>
      <c r="T89" t="str">
        <f>"headers: "&amp;$J$17&amp;","</f>
        <v>headers: 1,</v>
      </c>
      <c r="U89" t="str">
        <f>"headers: "&amp;$J$18&amp;","</f>
        <v>headers: 0,</v>
      </c>
      <c r="V89" t="str">
        <f>"headers: "&amp;$J$16&amp;","</f>
        <v>headers: 0,</v>
      </c>
      <c r="W89" t="str">
        <f>"headers: "&amp;$J$6&amp;","</f>
        <v>headers: 0,</v>
      </c>
    </row>
    <row r="90" spans="1:23" x14ac:dyDescent="0.3">
      <c r="A90" t="str">
        <f>"spEarned: "&amp;$K$4&amp;","</f>
        <v>spEarned: 3,</v>
      </c>
      <c r="B90" t="str">
        <f>"spEarned: "&amp;$K$15&amp;","</f>
        <v>spEarned: 3,</v>
      </c>
      <c r="C90" t="str">
        <f>"spEarned: "&amp;$K$9&amp;","</f>
        <v>spEarned: 4,</v>
      </c>
      <c r="D90" t="str">
        <f>"spEarned: "&amp;$K$24&amp;","</f>
        <v>spEarned: 0,</v>
      </c>
      <c r="E90" t="str">
        <f>"spEarned: "&amp;$K$12&amp;","</f>
        <v>spEarned: 1,</v>
      </c>
      <c r="F90" t="str">
        <f>"spEarned: "&amp;$K$22&amp;","</f>
        <v>spEarned: 0,</v>
      </c>
      <c r="G90" t="str">
        <f>"spEarned: "&amp;$K$3&amp;","</f>
        <v>spEarned: 0,</v>
      </c>
      <c r="H90" t="str">
        <f>"spEarned: "&amp;$K$7&amp;","</f>
        <v>spEarned: 0,</v>
      </c>
      <c r="I90" t="str">
        <f>"spEarned: "&amp;$K$8&amp;","</f>
        <v>spEarned: 0,</v>
      </c>
      <c r="J90" t="str">
        <f>"spEarned: "&amp;$K$23&amp;","</f>
        <v>spEarned: 0,</v>
      </c>
      <c r="K90" t="str">
        <f>"spEarned: "&amp;$K$20&amp;","</f>
        <v>spEarned: 0,</v>
      </c>
      <c r="L90" t="str">
        <f>"spEarned: "&amp;$K$14&amp;","</f>
        <v>spEarned: 1,</v>
      </c>
      <c r="M90" t="str">
        <f>"spEarned: "&amp;$K$21&amp;","</f>
        <v>spEarned: 1,</v>
      </c>
      <c r="N90" t="str">
        <f>"spEarned: "&amp;$K$11&amp;","</f>
        <v>spEarned: 0,</v>
      </c>
      <c r="O90" t="str">
        <f>"spEarned: "&amp;$K$13&amp;","</f>
        <v>spEarned: 0,</v>
      </c>
      <c r="P90" t="str">
        <f>"spEarned: "&amp;$K$5&amp;","</f>
        <v>spEarned: 0,</v>
      </c>
      <c r="Q90" t="str">
        <f>"spEarned: "&amp;$K$10&amp;","</f>
        <v>spEarned: 0,</v>
      </c>
      <c r="R90" t="str">
        <f>"spEarned: "&amp;$K$2&amp;","</f>
        <v>spEarned: 0,</v>
      </c>
      <c r="S90" t="str">
        <f>"spEarned: "&amp;$K$19&amp;","</f>
        <v>spEarned: 0,</v>
      </c>
      <c r="T90" t="str">
        <f>"spEarned: "&amp;$K$17&amp;","</f>
        <v>spEarned: 4,</v>
      </c>
      <c r="U90" t="str">
        <f>"spEarned: "&amp;$K$18&amp;","</f>
        <v>spEarned: 0,</v>
      </c>
      <c r="V90" t="str">
        <f>"spEarned: "&amp;$K$16&amp;","</f>
        <v>spEarned: 1,</v>
      </c>
      <c r="W90" t="str">
        <f>"spEarned: "&amp;$K$6&amp;","</f>
        <v>spEarned: 0,</v>
      </c>
    </row>
    <row r="91" spans="1:23" x14ac:dyDescent="0.3">
      <c r="A91" t="str">
        <f>"onTargetShots: "&amp;$M$4&amp;","</f>
        <v>onTargetShots: 0,</v>
      </c>
      <c r="B91" t="str">
        <f>"onTargetShots: "&amp;$M$15&amp;","</f>
        <v>onTargetShots: 0,</v>
      </c>
      <c r="C91" t="str">
        <f>"onTargetShots: "&amp;$M$9&amp;","</f>
        <v>onTargetShots: 0,</v>
      </c>
      <c r="D91" t="str">
        <f>"onTargetShots: "&amp;$M$24&amp;","</f>
        <v>onTargetShots: 0,</v>
      </c>
      <c r="E91" t="str">
        <f>"onTargetShots: "&amp;$M$12&amp;","</f>
        <v>onTargetShots: 0,</v>
      </c>
      <c r="F91" t="str">
        <f>"onTargetShots: "&amp;$M$22&amp;","</f>
        <v>onTargetShots: 1,</v>
      </c>
      <c r="G91" t="str">
        <f>"onTargetShots: "&amp;$M$3&amp;","</f>
        <v>onTargetShots: 0,</v>
      </c>
      <c r="H91" t="str">
        <f>"onTargetShots: "&amp;$M$7&amp;","</f>
        <v>onTargetShots: 0,</v>
      </c>
      <c r="I91" t="str">
        <f>"onTargetShots: "&amp;$M$8&amp;","</f>
        <v>onTargetShots: 0,</v>
      </c>
      <c r="J91" t="str">
        <f>"onTargetShots: "&amp;$M$23&amp;","</f>
        <v>onTargetShots: 0,</v>
      </c>
      <c r="K91" t="str">
        <f>"onTargetShots: "&amp;$M$20&amp;","</f>
        <v>onTargetShots: 0,</v>
      </c>
      <c r="L91" t="str">
        <f>"onTargetShots: "&amp;$M$14&amp;","</f>
        <v>onTargetShots: 0,</v>
      </c>
      <c r="M91" t="str">
        <f>"onTargetShots: "&amp;$M$21&amp;","</f>
        <v>onTargetShots: 0,</v>
      </c>
      <c r="N91" t="str">
        <f>"onTargetShots: "&amp;$M$11&amp;","</f>
        <v>onTargetShots: 0,</v>
      </c>
      <c r="O91" t="str">
        <f>"onTargetShots: "&amp;$M$13&amp;","</f>
        <v>onTargetShots: 0,</v>
      </c>
      <c r="P91" t="str">
        <f>"onTargetShots: "&amp;$M$5&amp;","</f>
        <v>onTargetShots: 0,</v>
      </c>
      <c r="Q91" t="str">
        <f>"onTargetShots: "&amp;$M$10&amp;","</f>
        <v>onTargetShots: 0,</v>
      </c>
      <c r="R91" t="str">
        <f>"onTargetShots: "&amp;$M$2&amp;","</f>
        <v>onTargetShots: 0,</v>
      </c>
      <c r="S91" t="str">
        <f>"onTargetShots: "&amp;$M$19&amp;","</f>
        <v>onTargetShots: 0,</v>
      </c>
      <c r="T91" t="str">
        <f>"onTargetShots: "&amp;$M$17&amp;","</f>
        <v>onTargetShots: 0,</v>
      </c>
      <c r="U91" t="str">
        <f>"onTargetShots: "&amp;$M$18&amp;","</f>
        <v>onTargetShots: 0,</v>
      </c>
      <c r="V91" t="str">
        <f>"onTargetShots: "&amp;$M$16&amp;","</f>
        <v>onTargetShots: 0,</v>
      </c>
      <c r="W91" t="str">
        <f>"onTargetShots: "&amp;$M$6&amp;","</f>
        <v>onTargetShots: 0,</v>
      </c>
    </row>
    <row r="92" spans="1:23" x14ac:dyDescent="0.3">
      <c r="A92" t="str">
        <f>"offTargetShots: "&amp;$L$4&amp;","</f>
        <v>offTargetShots: 1,</v>
      </c>
      <c r="B92" t="str">
        <f>"offTargetShots: "&amp;$L$15&amp;","</f>
        <v>offTargetShots: 0,</v>
      </c>
      <c r="C92" t="str">
        <f>"offTargetShots: "&amp;$L$9&amp;","</f>
        <v>offTargetShots: 0,</v>
      </c>
      <c r="D92" t="str">
        <f>"offTargetShots: "&amp;$L$24&amp;","</f>
        <v>offTargetShots: 0,</v>
      </c>
      <c r="E92" t="str">
        <f>"offTargetShots: "&amp;$L$12&amp;","</f>
        <v>offTargetShots: 0,</v>
      </c>
      <c r="F92" t="str">
        <f>"offTargetShots: "&amp;$L$22&amp;","</f>
        <v>offTargetShots: 3,</v>
      </c>
      <c r="G92" t="str">
        <f>"offTargetShots: "&amp;$L$3&amp;","</f>
        <v>offTargetShots: 0,</v>
      </c>
      <c r="H92" t="str">
        <f>"offTargetShots: "&amp;$L$7&amp;","</f>
        <v>offTargetShots: 0,</v>
      </c>
      <c r="I92" t="str">
        <f>"offTargetShots: "&amp;$L$8&amp;","</f>
        <v>offTargetShots: 0,</v>
      </c>
      <c r="J92" t="str">
        <f>"offTargetShots: "&amp;$L$23&amp;","</f>
        <v>offTargetShots: 0,</v>
      </c>
      <c r="K92" t="str">
        <f>"offTargetShots: "&amp;$L$20&amp;","</f>
        <v>offTargetShots: 0,</v>
      </c>
      <c r="L92" t="str">
        <f>"offTargetShots: "&amp;$L$14&amp;","</f>
        <v>offTargetShots: 0,</v>
      </c>
      <c r="M92" t="str">
        <f>"offTargetShots: "&amp;$L$21&amp;","</f>
        <v>offTargetShots: 1,</v>
      </c>
      <c r="N92" t="str">
        <f>"offTargetShots: "&amp;$L$11&amp;","</f>
        <v>offTargetShots: 0,</v>
      </c>
      <c r="O92" t="str">
        <f>"offTargetShots: "&amp;$L$13&amp;","</f>
        <v>offTargetShots: 0,</v>
      </c>
      <c r="P92" t="str">
        <f>"offTargetShots: "&amp;$L$5&amp;","</f>
        <v>offTargetShots: 0,</v>
      </c>
      <c r="Q92" t="str">
        <f>"offTargetShots: "&amp;$L$10&amp;","</f>
        <v>offTargetShots: 1,</v>
      </c>
      <c r="R92" t="str">
        <f>"offTargetShots: "&amp;$L$2&amp;","</f>
        <v>offTargetShots: 0,</v>
      </c>
      <c r="S92" t="str">
        <f>"offTargetShots: "&amp;$L$19&amp;","</f>
        <v>offTargetShots: 0,</v>
      </c>
      <c r="T92" t="str">
        <f>"offTargetShots: "&amp;$L$17&amp;","</f>
        <v>offTargetShots: 0,</v>
      </c>
      <c r="U92" t="str">
        <f>"offTargetShots: "&amp;$L$18&amp;","</f>
        <v>offTargetShots: 0,</v>
      </c>
      <c r="V92" t="str">
        <f>"offTargetShots: "&amp;$L$16&amp;","</f>
        <v>offTargetShots: 0,</v>
      </c>
      <c r="W92" t="str">
        <f>"offTargetShots: "&amp;$L$6&amp;","</f>
        <v>offTargetShots: 0,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6,</v>
      </c>
      <c r="B96" t="str">
        <f>"totalActions: "&amp;$X$15&amp;","</f>
        <v>totalActions: 26,</v>
      </c>
      <c r="C96" t="str">
        <f>"totalActions: "&amp;$X$9&amp;","</f>
        <v>totalActions: 24,</v>
      </c>
      <c r="D96" t="str">
        <f>"totalActions: "&amp;$X$24&amp;","</f>
        <v>totalActions: 16,</v>
      </c>
      <c r="E96" t="str">
        <f>"totalActions: "&amp;$X$12&amp;","</f>
        <v>totalActions: 8,</v>
      </c>
      <c r="F96" t="str">
        <f>"totalActions: "&amp;$X$22&amp;","</f>
        <v>totalActions: 31,</v>
      </c>
      <c r="G96" t="str">
        <f>"totalActions: "&amp;$X$3&amp;","</f>
        <v>totalActions: 0,</v>
      </c>
      <c r="H96" t="str">
        <f>"totalActions: "&amp;$X$7&amp;","</f>
        <v>totalActions: 11,</v>
      </c>
      <c r="I96" t="str">
        <f>"totalActions: "&amp;$X$8&amp;","</f>
        <v>totalActions: 0,</v>
      </c>
      <c r="J96" t="str">
        <f>"totalActions: "&amp;$X$23&amp;","</f>
        <v>totalActions: 0,</v>
      </c>
      <c r="K96" t="str">
        <f>"totalActions: "&amp;$X$20&amp;","</f>
        <v>totalActions: 0,</v>
      </c>
      <c r="L96" t="str">
        <f>"totalActions: "&amp;$X$14&amp;","</f>
        <v>totalActions: 21,</v>
      </c>
      <c r="M96" t="str">
        <f>"totalActions: "&amp;$X$21&amp;","</f>
        <v>totalActions: 19,</v>
      </c>
      <c r="N96" t="str">
        <f>"totalActions: "&amp;$X$11&amp;","</f>
        <v>totalActions: 3,</v>
      </c>
      <c r="O96" t="str">
        <f>"totalActions: "&amp;$X$13&amp;","</f>
        <v>totalActions: 0,</v>
      </c>
      <c r="P96" t="str">
        <f>"totalActions: "&amp;$X$5&amp;","</f>
        <v>totalActions: 5,</v>
      </c>
      <c r="Q96" t="str">
        <f>"totalActions: "&amp;$X$10&amp;","</f>
        <v>totalActions: 6,</v>
      </c>
      <c r="R96" t="str">
        <f>"totalActions: "&amp;$X$2&amp;","</f>
        <v>totalActions: 0,</v>
      </c>
      <c r="S96" t="str">
        <f>"totalActions: "&amp;$X$19&amp;","</f>
        <v>totalActions: 4,</v>
      </c>
      <c r="T96" t="str">
        <f>"totalActions: "&amp;$X$17&amp;","</f>
        <v>totalActions: 12,</v>
      </c>
      <c r="U96" t="str">
        <f>"totalActions: "&amp;$X$18&amp;","</f>
        <v>totalActions: 0,</v>
      </c>
      <c r="V96" t="str">
        <f>"totalActions: "&amp;$X$16&amp;","</f>
        <v>totalActions: 1,</v>
      </c>
      <c r="W96" t="str">
        <f>"totalActions: "&amp;$X$6&amp;","</f>
        <v>totalActions: 0,</v>
      </c>
    </row>
    <row r="97" spans="1:23" x14ac:dyDescent="0.3">
      <c r="A97" t="str">
        <f>"actionsPerMinute: "&amp;TEXT($Y$4,"0.00")&amp;","</f>
        <v>actionsPerMinute: 0.09,</v>
      </c>
      <c r="B97" t="str">
        <f>"actionsPerMinute: "&amp;TEXT($Y$15,"0.00")&amp;","</f>
        <v>actionsPerMinute: 0.29,</v>
      </c>
      <c r="C97" t="str">
        <f>"actionsPerMinute: "&amp;TEXT($Y$9,"0.00")&amp;","</f>
        <v>actionsPerMinute: 0.27,</v>
      </c>
      <c r="D97" t="str">
        <f>"actionsPerMinute: "&amp;TEXT($Y$24,"0.00")&amp;","</f>
        <v>actionsPerMinute: 0.32,</v>
      </c>
      <c r="E97" t="str">
        <f>"actionsPerMinute: "&amp;TEXT($Y$12,"0.00")&amp;","</f>
        <v>actionsPerMinute: 0.09,</v>
      </c>
      <c r="F97" t="str">
        <f>"actionsPerMinute: "&amp;TEXT($Y$22,"0.00")&amp;","</f>
        <v>actionsPerMinute: 0.34,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0.37,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0.35,</v>
      </c>
      <c r="M97" t="str">
        <f>"actionsPerMinute: "&amp;TEXT($Y$21,"0.00")&amp;","</f>
        <v>actionsPerMinute: 0.35,</v>
      </c>
      <c r="N97" t="str">
        <f>"actionsPerMinute: "&amp;TEXT($Y$11,"0.00")&amp;","</f>
        <v>actionsPerMinute: 0.20,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0.08,</v>
      </c>
      <c r="Q97" t="str">
        <f>"actionsPerMinute: "&amp;TEXT($Y$10,"0.00")&amp;","</f>
        <v>actionsPerMinute: 0.19,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0.07,</v>
      </c>
      <c r="T97" t="str">
        <f>"actionsPerMinute: "&amp;TEXT($Y$17,"0.00")&amp;","</f>
        <v>actionsPerMinute: 0.15,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0.04,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0,</v>
      </c>
      <c r="B98" t="str">
        <f>"tackles: "&amp;$P$15&amp;","</f>
        <v>tackles: 0,</v>
      </c>
      <c r="C98" t="str">
        <f>"tackles: "&amp;$P$9&amp;","</f>
        <v>tackles: 1,</v>
      </c>
      <c r="D98" t="str">
        <f>"tackles: "&amp;$P$24&amp;","</f>
        <v>tackles: 5,</v>
      </c>
      <c r="E98" t="str">
        <f>"tackles: "&amp;$P$12&amp;","</f>
        <v>tackles: 4,</v>
      </c>
      <c r="F98" t="str">
        <f>"tackles: "&amp;$P$22&amp;","</f>
        <v>tackles: 5,</v>
      </c>
      <c r="G98" t="str">
        <f>"tackles: "&amp;$P$3&amp;","</f>
        <v>tackles: 0,</v>
      </c>
      <c r="H98" t="str">
        <f>"tackles: "&amp;$P$7&amp;","</f>
        <v>tackles: 2,</v>
      </c>
      <c r="I98" t="str">
        <f>"tackles: "&amp;$P$8&amp;","</f>
        <v>tackles: 0,</v>
      </c>
      <c r="J98" t="str">
        <f>"tackles: "&amp;$P$23&amp;","</f>
        <v>tackles: 0,</v>
      </c>
      <c r="K98" t="str">
        <f>"tackles: "&amp;$P$20&amp;","</f>
        <v>tackles: 0,</v>
      </c>
      <c r="L98" t="str">
        <f>"tackles: "&amp;$P$14&amp;","</f>
        <v>tackles: 0,</v>
      </c>
      <c r="M98" t="str">
        <f>"tackles: "&amp;$P$21&amp;","</f>
        <v>tackles: 5,</v>
      </c>
      <c r="N98" t="str">
        <f>"tackles: "&amp;$P$11&amp;","</f>
        <v>tackles: 0,</v>
      </c>
      <c r="O98" t="str">
        <f>"tackles: "&amp;$P$13&amp;","</f>
        <v>tackles: 0,</v>
      </c>
      <c r="P98" t="str">
        <f>"tackles: "&amp;$P$5&amp;","</f>
        <v>tackles: 0,</v>
      </c>
      <c r="Q98" t="str">
        <f>"tackles: "&amp;$P$10&amp;","</f>
        <v>tackles: 0,</v>
      </c>
      <c r="R98" t="str">
        <f>"tackles: "&amp;$P$2&amp;","</f>
        <v>tackles: 0,</v>
      </c>
      <c r="S98" t="str">
        <f>"tackles: "&amp;$P$19&amp;","</f>
        <v>tackles: 1,</v>
      </c>
      <c r="T98" t="str">
        <f>"tackles: "&amp;$P$17&amp;","</f>
        <v>tackles: 5,</v>
      </c>
      <c r="U98" t="str">
        <f>"tackles: "&amp;$P$18&amp;","</f>
        <v>tackles: 0,</v>
      </c>
      <c r="V98" t="str">
        <f>"tackles: "&amp;$P$16&amp;","</f>
        <v>tackles: 0,</v>
      </c>
      <c r="W98" t="str">
        <f>"tackles: "&amp;$P$6&amp;","</f>
        <v>tackles: 0,</v>
      </c>
    </row>
    <row r="99" spans="1:23" x14ac:dyDescent="0.3">
      <c r="A99" t="str">
        <f>"interceptions: "&amp;$Q$4&amp;","</f>
        <v>interceptions: 0,</v>
      </c>
      <c r="B99" t="str">
        <f>"interceptions: "&amp;$Q$15&amp;","</f>
        <v>interceptions: 3,</v>
      </c>
      <c r="C99" t="str">
        <f>"interceptions: "&amp;$Q$9&amp;","</f>
        <v>interceptions: 4,</v>
      </c>
      <c r="D99" t="str">
        <f>"interceptions: "&amp;$Q$24&amp;","</f>
        <v>interceptions: 1,</v>
      </c>
      <c r="E99" t="str">
        <f>"interceptions: "&amp;$Q$12&amp;","</f>
        <v>interceptions: 0,</v>
      </c>
      <c r="F99" t="str">
        <f>"interceptions: "&amp;$Q$22&amp;","</f>
        <v>interceptions: 3,</v>
      </c>
      <c r="G99" t="str">
        <f>"interceptions: "&amp;$Q$3&amp;","</f>
        <v>interceptions: 0,</v>
      </c>
      <c r="H99" t="str">
        <f>"interceptions: "&amp;$Q$7&amp;","</f>
        <v>interceptions: 2,</v>
      </c>
      <c r="I99" t="str">
        <f>"interceptions: "&amp;$Q$8&amp;","</f>
        <v>interceptions: 0,</v>
      </c>
      <c r="J99" t="str">
        <f>"interceptions: "&amp;$Q$23&amp;","</f>
        <v>interceptions: 0,</v>
      </c>
      <c r="K99" t="str">
        <f>"interceptions: "&amp;$Q$20&amp;","</f>
        <v>interceptions: 0,</v>
      </c>
      <c r="L99" t="str">
        <f>"interceptions: "&amp;$Q$14&amp;","</f>
        <v>interceptions: 3,</v>
      </c>
      <c r="M99" t="str">
        <f>"interceptions: "&amp;$Q$21&amp;","</f>
        <v>interceptions: 0,</v>
      </c>
      <c r="N99" t="str">
        <f>"interceptions: "&amp;$Q$11&amp;","</f>
        <v>interceptions: 0,</v>
      </c>
      <c r="O99" t="str">
        <f>"interceptions: "&amp;$Q$13&amp;","</f>
        <v>interceptions: 0,</v>
      </c>
      <c r="P99" t="str">
        <f>"interceptions: "&amp;$Q$5&amp;","</f>
        <v>interceptions: 1,</v>
      </c>
      <c r="Q99" t="str">
        <f>"interceptions: "&amp;$Q$10&amp;","</f>
        <v>interceptions: 0,</v>
      </c>
      <c r="R99" t="str">
        <f>"interceptions: "&amp;$Q$2&amp;","</f>
        <v>interceptions: 0,</v>
      </c>
      <c r="S99" t="str">
        <f>"interceptions: "&amp;$Q$19&amp;","</f>
        <v>interceptions: 0,</v>
      </c>
      <c r="T99" t="str">
        <f>"interceptions: "&amp;$Q$17&amp;","</f>
        <v>interceptions: 1,</v>
      </c>
      <c r="U99" t="str">
        <f>"interceptions: "&amp;$Q$18&amp;","</f>
        <v>interceptions: 0,</v>
      </c>
      <c r="V99" t="str">
        <f>"interceptions: "&amp;$Q$16&amp;","</f>
        <v>interceptions: 0,</v>
      </c>
      <c r="W99" t="str">
        <f>"interceptions: "&amp;$Q$6&amp;","</f>
        <v>interceptions: 0,</v>
      </c>
    </row>
    <row r="100" spans="1:23" x14ac:dyDescent="0.3">
      <c r="A100" t="str">
        <f>"fhRegains: "&amp;$R$4&amp;","</f>
        <v>fhRegains: 2,</v>
      </c>
      <c r="B100" t="str">
        <f>"fhRegains: "&amp;$R$15&amp;","</f>
        <v>fhRegains: 2,</v>
      </c>
      <c r="C100" t="str">
        <f>"fhRegains: "&amp;$R$9&amp;","</f>
        <v>fhRegains: 3,</v>
      </c>
      <c r="D100" t="str">
        <f>"fhRegains: "&amp;$R$24&amp;","</f>
        <v>fhRegains: 0,</v>
      </c>
      <c r="E100" t="str">
        <f>"fhRegains: "&amp;$R$12&amp;","</f>
        <v>fhRegains: 0,</v>
      </c>
      <c r="F100" t="str">
        <f>"fhRegains: "&amp;$R$22&amp;","</f>
        <v>fhRegains: 5,</v>
      </c>
      <c r="G100" t="str">
        <f>"fhRegains: "&amp;$R$3&amp;","</f>
        <v>fhRegains: 0,</v>
      </c>
      <c r="H100" t="str">
        <f>"fhRegains: "&amp;$R$7&amp;","</f>
        <v>fhRegains: 1,</v>
      </c>
      <c r="I100" t="str">
        <f>"fhRegains: "&amp;$R$8&amp;","</f>
        <v>fhRegains: 0,</v>
      </c>
      <c r="J100" t="str">
        <f>"fhRegains: "&amp;$R$23&amp;","</f>
        <v>fhRegains: 0,</v>
      </c>
      <c r="K100" t="str">
        <f>"fhRegains: "&amp;$R$20&amp;","</f>
        <v>fhRegains: 0,</v>
      </c>
      <c r="L100" t="str">
        <f>"fhRegains: "&amp;$R$14&amp;","</f>
        <v>fhRegains: 1,</v>
      </c>
      <c r="M100" t="str">
        <f>"fhRegains: "&amp;$R$21&amp;","</f>
        <v>fhRegains: 3,</v>
      </c>
      <c r="N100" t="str">
        <f>"fhRegains: "&amp;$R$11&amp;","</f>
        <v>fhRegains: 0,</v>
      </c>
      <c r="O100" t="str">
        <f>"fhRegains: "&amp;$R$13&amp;","</f>
        <v>fhRegains: 0,</v>
      </c>
      <c r="P100" t="str">
        <f>"fhRegains: "&amp;$R$5&amp;","</f>
        <v>fhRegains: 0,</v>
      </c>
      <c r="Q100" t="str">
        <f>"fhRegains: "&amp;$R$10&amp;","</f>
        <v>fhRegains: 0,</v>
      </c>
      <c r="R100" t="str">
        <f>"fhRegains: "&amp;$R$2&amp;","</f>
        <v>fhRegains: 0,</v>
      </c>
      <c r="S100" t="str">
        <f>"fhRegains: "&amp;$R$19&amp;","</f>
        <v>fhRegains: 0,</v>
      </c>
      <c r="T100" t="str">
        <f>"fhRegains: "&amp;$R$17&amp;","</f>
        <v>fhRegains: 1,</v>
      </c>
      <c r="U100" t="str">
        <f>"fhRegains: "&amp;$R$18&amp;","</f>
        <v>fhRegains: 0,</v>
      </c>
      <c r="V100" t="str">
        <f>"fhRegains: "&amp;$R$16&amp;","</f>
        <v>fhRegains: 0,</v>
      </c>
      <c r="W100" t="str">
        <f>"fhRegains: "&amp;$R$6&amp;","</f>
        <v>fhRegains: 0,</v>
      </c>
    </row>
    <row r="101" spans="1:23" x14ac:dyDescent="0.3">
      <c r="A101" t="str">
        <f>"blocks: "&amp;$S$4&amp;","</f>
        <v>blocks: 0,</v>
      </c>
      <c r="B101" t="str">
        <f>"blocks: "&amp;$S$15&amp;","</f>
        <v>blocks: 2,</v>
      </c>
      <c r="C101" t="str">
        <f>"blocks: "&amp;$S$9&amp;","</f>
        <v>blocks: 0,</v>
      </c>
      <c r="D101" t="str">
        <f>"blocks: "&amp;$S$24&amp;","</f>
        <v>blocks: 0,</v>
      </c>
      <c r="E101" t="str">
        <f>"blocks: "&amp;$S$12&amp;","</f>
        <v>blocks: 0,</v>
      </c>
      <c r="F101" t="str">
        <f>"blocks: "&amp;$S$22&amp;","</f>
        <v>blocks: 0,</v>
      </c>
      <c r="G101" t="str">
        <f>"blocks: "&amp;$S$3&amp;","</f>
        <v>blocks: 0,</v>
      </c>
      <c r="H101" t="str">
        <f>"blocks: "&amp;$S$7&amp;","</f>
        <v>blocks: 2,</v>
      </c>
      <c r="I101" t="str">
        <f>"blocks: "&amp;$S$8&amp;","</f>
        <v>blocks: 0,</v>
      </c>
      <c r="J101" t="str">
        <f>"blocks: "&amp;$S$23&amp;","</f>
        <v>blocks: 0,</v>
      </c>
      <c r="K101" t="str">
        <f>"blocks: "&amp;$S$20&amp;","</f>
        <v>blocks: 0,</v>
      </c>
      <c r="L101" t="str">
        <f>"blocks: "&amp;$S$14&amp;","</f>
        <v>blocks: 2,</v>
      </c>
      <c r="M101" t="str">
        <f>"blocks: "&amp;$S$21&amp;","</f>
        <v>blocks: 0,</v>
      </c>
      <c r="N101" t="str">
        <f>"blocks: "&amp;$S$11&amp;","</f>
        <v>blocks: 0,</v>
      </c>
      <c r="O101" t="str">
        <f>"blocks: "&amp;$S$13&amp;","</f>
        <v>blocks: 0,</v>
      </c>
      <c r="P101" t="str">
        <f>"blocks: "&amp;$S$5&amp;","</f>
        <v>blocks: 0,</v>
      </c>
      <c r="Q101" t="str">
        <f>"blocks: "&amp;$S$10&amp;","</f>
        <v>blocks: 0,</v>
      </c>
      <c r="R101" t="str">
        <f>"blocks: "&amp;$S$2&amp;","</f>
        <v>blocks: 0,</v>
      </c>
      <c r="S101" t="str">
        <f>"blocks: "&amp;$S$19&amp;","</f>
        <v>blocks: 0,</v>
      </c>
      <c r="T101" t="str">
        <f>"blocks: "&amp;$S$17&amp;","</f>
        <v>blocks: 1,</v>
      </c>
      <c r="U101" t="str">
        <f>"blocks: "&amp;$S$18&amp;","</f>
        <v>blocks: 0,</v>
      </c>
      <c r="V101" t="str">
        <f>"blocks: "&amp;$S$16&amp;","</f>
        <v>blocks: 0,</v>
      </c>
      <c r="W101" t="str">
        <f>"blocks: "&amp;$S$6&amp;","</f>
        <v>blocks: 0,</v>
      </c>
    </row>
    <row r="102" spans="1:23" x14ac:dyDescent="0.3">
      <c r="A102" t="str">
        <f>"clearances: "&amp;$T$4&amp;","</f>
        <v>clearances: 0,</v>
      </c>
      <c r="B102" t="str">
        <f>"clearances: "&amp;$T$15&amp;","</f>
        <v>clearances: 3,</v>
      </c>
      <c r="C102" t="str">
        <f>"clearances: "&amp;$T$9&amp;","</f>
        <v>clearances: 1,</v>
      </c>
      <c r="D102" t="str">
        <f>"clearances: "&amp;$T$24&amp;","</f>
        <v>clearances: 0,</v>
      </c>
      <c r="E102" t="str">
        <f>"clearances: "&amp;$T$12&amp;","</f>
        <v>clearances: 0,</v>
      </c>
      <c r="F102" t="str">
        <f>"clearances: "&amp;$T$22&amp;","</f>
        <v>clearances: 4,</v>
      </c>
      <c r="G102" t="str">
        <f>"clearances: "&amp;$T$3&amp;","</f>
        <v>clearances: 0,</v>
      </c>
      <c r="H102" t="str">
        <f>"clearances: "&amp;$T$7&amp;","</f>
        <v>clearances: 0,</v>
      </c>
      <c r="I102" t="str">
        <f>"clearances: "&amp;$T$8&amp;","</f>
        <v>clearances: 0,</v>
      </c>
      <c r="J102" t="str">
        <f>"clearances: "&amp;$T$23&amp;","</f>
        <v>clearances: 0,</v>
      </c>
      <c r="K102" t="str">
        <f>"clearances: "&amp;$T$20&amp;","</f>
        <v>clearances: 0,</v>
      </c>
      <c r="L102" t="str">
        <f>"clearances: "&amp;$T$14&amp;","</f>
        <v>clearances: 2,</v>
      </c>
      <c r="M102" t="str">
        <f>"clearances: "&amp;$T$21&amp;","</f>
        <v>clearances: 1,</v>
      </c>
      <c r="N102" t="str">
        <f>"clearances: "&amp;$T$11&amp;","</f>
        <v>clearances: 1,</v>
      </c>
      <c r="O102" t="str">
        <f>"clearances: "&amp;$T$13&amp;","</f>
        <v>clearances: 0,</v>
      </c>
      <c r="P102" t="str">
        <f>"clearances: "&amp;$T$5&amp;","</f>
        <v>clearances: 0,</v>
      </c>
      <c r="Q102" t="str">
        <f>"clearances: "&amp;$T$10&amp;","</f>
        <v>clearances: 1,</v>
      </c>
      <c r="R102" t="str">
        <f>"clearances: "&amp;$T$2&amp;","</f>
        <v>clearances: 0,</v>
      </c>
      <c r="S102" t="str">
        <f>"clearances: "&amp;$T$19&amp;","</f>
        <v>clearances: 0,</v>
      </c>
      <c r="T102" t="str">
        <f>"clearances: "&amp;$T$17&amp;","</f>
        <v>clearances: 0,</v>
      </c>
      <c r="U102" t="str">
        <f>"clearances: "&amp;$T$18&amp;","</f>
        <v>clearances: 0,</v>
      </c>
      <c r="V102" t="str">
        <f>"clearances: "&amp;$T$16&amp;","</f>
        <v>clearances: 0,</v>
      </c>
      <c r="W102" t="str">
        <f>"clearances: "&amp;$T$6&amp;","</f>
        <v>clearances: 0,</v>
      </c>
    </row>
    <row r="103" spans="1:23" x14ac:dyDescent="0.3">
      <c r="A103" t="str">
        <f>"separations: "&amp;$U$4&amp;","</f>
        <v>separations: 0,</v>
      </c>
      <c r="B103" t="str">
        <f>"separations: "&amp;$U$15&amp;","</f>
        <v>separations: 1,</v>
      </c>
      <c r="C103" t="str">
        <f>"separations: "&amp;$U$9&amp;","</f>
        <v>separations: 1,</v>
      </c>
      <c r="D103" t="str">
        <f>"separations: "&amp;$U$24&amp;","</f>
        <v>separations: 1,</v>
      </c>
      <c r="E103" t="str">
        <f>"separations: "&amp;$U$12&amp;","</f>
        <v>separations: 0,</v>
      </c>
      <c r="F103" t="str">
        <f>"separations: "&amp;$U$22&amp;","</f>
        <v>separations: 0,</v>
      </c>
      <c r="G103" t="str">
        <f>"separations: "&amp;$U$3&amp;","</f>
        <v>separations: 0,</v>
      </c>
      <c r="H103" t="str">
        <f>"separations: "&amp;$U$7&amp;","</f>
        <v>separations: 0,</v>
      </c>
      <c r="I103" t="str">
        <f>"separations: "&amp;$U$8&amp;","</f>
        <v>separations: 0,</v>
      </c>
      <c r="J103" t="str">
        <f>"separations: "&amp;$U$23&amp;","</f>
        <v>separations: 0,</v>
      </c>
      <c r="K103" t="str">
        <f>"separations: "&amp;$U$20&amp;","</f>
        <v>separations: 0,</v>
      </c>
      <c r="L103" t="str">
        <f>"separations: "&amp;$U$14&amp;","</f>
        <v>separations: 3,</v>
      </c>
      <c r="M103" t="str">
        <f>"separations: "&amp;$U$21&amp;","</f>
        <v>separations: 1,</v>
      </c>
      <c r="N103" t="str">
        <f>"separations: "&amp;$U$11&amp;","</f>
        <v>separations: 0,</v>
      </c>
      <c r="O103" t="str">
        <f>"separations: "&amp;$U$13&amp;","</f>
        <v>separations: 0,</v>
      </c>
      <c r="P103" t="str">
        <f>"separations: "&amp;$U$5&amp;","</f>
        <v>separations: 0,</v>
      </c>
      <c r="Q103" t="str">
        <f>"separations: "&amp;$U$10&amp;","</f>
        <v>separations: 2,</v>
      </c>
      <c r="R103" t="str">
        <f>"separations: "&amp;$U$2&amp;","</f>
        <v>separations: 0,</v>
      </c>
      <c r="S103" t="str">
        <f>"separations: "&amp;$U$19&amp;","</f>
        <v>separations: 0,</v>
      </c>
      <c r="T103" t="str">
        <f>"separations: "&amp;$U$17&amp;","</f>
        <v>separations: 0,</v>
      </c>
      <c r="U103" t="str">
        <f>"separations: "&amp;$U$18&amp;","</f>
        <v>separations: 0,</v>
      </c>
      <c r="V103" t="str">
        <f>"separations: "&amp;$U$16&amp;","</f>
        <v>separations: 0,</v>
      </c>
      <c r="W103" t="str">
        <f>"separations: "&amp;$U$6&amp;","</f>
        <v>separations: 0,</v>
      </c>
    </row>
    <row r="104" spans="1:23" x14ac:dyDescent="0.3">
      <c r="A104" t="str">
        <f>"headers: "&amp;$V$4&amp;","</f>
        <v>headers: 1,</v>
      </c>
      <c r="B104" t="str">
        <f>"headers: "&amp;$V$15&amp;","</f>
        <v>headers: 7,</v>
      </c>
      <c r="C104" t="str">
        <f>"headers: "&amp;$V$9&amp;","</f>
        <v>headers: 9,</v>
      </c>
      <c r="D104" t="str">
        <f>"headers: "&amp;$V$24&amp;","</f>
        <v>headers: 6,</v>
      </c>
      <c r="E104" t="str">
        <f>"headers: "&amp;$V$12&amp;","</f>
        <v>headers: 1,</v>
      </c>
      <c r="F104" t="str">
        <f>"headers: "&amp;$V$22&amp;","</f>
        <v>headers: 12,</v>
      </c>
      <c r="G104" t="str">
        <f>"headers: "&amp;$V$3&amp;","</f>
        <v>headers: 0,</v>
      </c>
      <c r="H104" t="str">
        <f>"headers: "&amp;$V$7&amp;","</f>
        <v>headers: 2,</v>
      </c>
      <c r="I104" t="str">
        <f>"headers: "&amp;$V$8&amp;","</f>
        <v>headers: 0,</v>
      </c>
      <c r="J104" t="str">
        <f>"headers: "&amp;$V$23&amp;","</f>
        <v>headers: 0,</v>
      </c>
      <c r="K104" t="str">
        <f>"headers: "&amp;$V$20&amp;","</f>
        <v>headers: 0,</v>
      </c>
      <c r="L104" t="str">
        <f>"headers: "&amp;$V$14&amp;","</f>
        <v>headers: 6,</v>
      </c>
      <c r="M104" t="str">
        <f>"headers: "&amp;$V$21&amp;","</f>
        <v>headers: 4,</v>
      </c>
      <c r="N104" t="str">
        <f>"headers: "&amp;$V$11&amp;","</f>
        <v>headers: 0,</v>
      </c>
      <c r="O104" t="str">
        <f>"headers: "&amp;$V$13&amp;","</f>
        <v>headers: 0,</v>
      </c>
      <c r="P104" t="str">
        <f>"headers: "&amp;$V$5&amp;","</f>
        <v>headers: 1,</v>
      </c>
      <c r="Q104" t="str">
        <f>"headers: "&amp;$V$10&amp;","</f>
        <v>headers: 1,</v>
      </c>
      <c r="R104" t="str">
        <f>"headers: "&amp;$V$2&amp;","</f>
        <v>headers: 0,</v>
      </c>
      <c r="S104" t="str">
        <f>"headers: "&amp;$V$19&amp;","</f>
        <v>headers: 0,</v>
      </c>
      <c r="T104" t="str">
        <f>"headers: "&amp;$V$17&amp;","</f>
        <v>headers: 1,</v>
      </c>
      <c r="U104" t="str">
        <f>"headers: "&amp;$V$18&amp;","</f>
        <v>headers: 0,</v>
      </c>
      <c r="V104" t="str">
        <f>"headers: "&amp;$V$16&amp;","</f>
        <v>headers: 0,</v>
      </c>
      <c r="W104" t="str">
        <f>"headers: "&amp;$V$6&amp;","</f>
        <v>headers: 0,</v>
      </c>
    </row>
    <row r="105" spans="1:23" x14ac:dyDescent="0.3">
      <c r="A105" t="str">
        <f>"stopForwardCA: "&amp;$W$4&amp;","</f>
        <v>stopForwardCA: 3,</v>
      </c>
      <c r="B105" t="str">
        <f>"stopForwardCA: "&amp;$W$15&amp;","</f>
        <v>stopForwardCA: 8,</v>
      </c>
      <c r="C105" t="str">
        <f>"stopForwardCA: "&amp;$W$9&amp;","</f>
        <v>stopForwardCA: 5,</v>
      </c>
      <c r="D105" t="str">
        <f>"stopForwardCA: "&amp;$W$24&amp;","</f>
        <v>stopForwardCA: 3,</v>
      </c>
      <c r="E105" t="str">
        <f>"stopForwardCA: "&amp;$W$12&amp;","</f>
        <v>stopForwardCA: 3,</v>
      </c>
      <c r="F105" t="str">
        <f>"stopForwardCA: "&amp;$W$22&amp;","</f>
        <v>stopForwardCA: 2,</v>
      </c>
      <c r="G105" t="str">
        <f>"stopForwardCA: "&amp;$W$3&amp;","</f>
        <v>stopForwardCA: 0,</v>
      </c>
      <c r="H105" t="str">
        <f>"stopForwardCA: "&amp;$W$7&amp;","</f>
        <v>stopForwardCA: 2,</v>
      </c>
      <c r="I105" t="str">
        <f>"stopForwardCA: "&amp;$W$8&amp;","</f>
        <v>stopForwardCA: 0,</v>
      </c>
      <c r="J105" t="str">
        <f>"stopForwardCA: "&amp;$W$23&amp;","</f>
        <v>stopForwardCA: 0,</v>
      </c>
      <c r="K105" t="str">
        <f>"stopForwardCA: "&amp;$W$20&amp;","</f>
        <v>stopForwardCA: 0,</v>
      </c>
      <c r="L105" t="str">
        <f>"stopForwardCA: "&amp;$W$14&amp;","</f>
        <v>stopForwardCA: 4,</v>
      </c>
      <c r="M105" t="str">
        <f>"stopForwardCA: "&amp;$W$21&amp;","</f>
        <v>stopForwardCA: 5,</v>
      </c>
      <c r="N105" t="str">
        <f>"stopForwardCA: "&amp;$W$11&amp;","</f>
        <v>stopForwardCA: 2,</v>
      </c>
      <c r="O105" t="str">
        <f>"stopForwardCA: "&amp;$W$13&amp;","</f>
        <v>stopForwardCA: 0,</v>
      </c>
      <c r="P105" t="str">
        <f>"stopForwardCA: "&amp;$W$5&amp;","</f>
        <v>stopForwardCA: 3,</v>
      </c>
      <c r="Q105" t="str">
        <f>"stopForwardCA: "&amp;$W$10&amp;","</f>
        <v>stopForwardCA: 2,</v>
      </c>
      <c r="R105" t="str">
        <f>"stopForwardCA: "&amp;$W$2&amp;","</f>
        <v>stopForwardCA: 0,</v>
      </c>
      <c r="S105" t="str">
        <f>"stopForwardCA: "&amp;$W$19&amp;","</f>
        <v>stopForwardCA: 3,</v>
      </c>
      <c r="T105" t="str">
        <f>"stopForwardCA: "&amp;$W$17&amp;","</f>
        <v>stopForwardCA: 3,</v>
      </c>
      <c r="U105" t="str">
        <f>"stopForwardCA: "&amp;$W$18&amp;","</f>
        <v>stopForwardCA: 0,</v>
      </c>
      <c r="V105" t="str">
        <f>"stopForwardCA: "&amp;$W$16&amp;","</f>
        <v>stopForwardCA: 1,</v>
      </c>
      <c r="W105" t="str">
        <f>"stopForwardCA: "&amp;$W$6&amp;","</f>
        <v>stopForwardCA: 0,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69,</v>
      </c>
      <c r="B109" t="str">
        <f>"minutes: "&amp;B$15&amp;","</f>
        <v>minutes: 90,</v>
      </c>
      <c r="C109" t="str">
        <f>"minutes: "&amp;B$9&amp;","</f>
        <v>minutes: 90,</v>
      </c>
      <c r="D109" t="str">
        <f>"minutes: "&amp;B$24&amp;","</f>
        <v>minutes: 50,</v>
      </c>
      <c r="E109" t="str">
        <f>"minutes: "&amp;B$12&amp;","</f>
        <v>minutes: 86,</v>
      </c>
      <c r="F109" t="str">
        <f>"minutes: "&amp;B$22&amp;","</f>
        <v>minutes: 90,</v>
      </c>
      <c r="G109" t="str">
        <f>"minutes: "&amp;B$3&amp;","</f>
        <v>minutes: 0,</v>
      </c>
      <c r="H109" t="str">
        <f>"minutes: "&amp;B$7&amp;","</f>
        <v>minutes: 30,</v>
      </c>
      <c r="I109" t="str">
        <f>"minutes: "&amp;B$8&amp;","</f>
        <v>minutes: 0,</v>
      </c>
      <c r="J109" t="str">
        <f>"minutes: "&amp;B$23&amp;","</f>
        <v>minutes: 0,</v>
      </c>
      <c r="K109" t="str">
        <f>"minutes: "&amp;B$20&amp;","</f>
        <v>minutes: 0,</v>
      </c>
      <c r="L109" t="str">
        <f>"minutes: "&amp;B$14&amp;","</f>
        <v>minutes: 60,</v>
      </c>
      <c r="M109" t="str">
        <f>"minutes: "&amp;B$21&amp;","</f>
        <v>minutes: 55,</v>
      </c>
      <c r="N109" t="str">
        <f>"minutes: "&amp;B$11&amp;","</f>
        <v>minutes: 15,</v>
      </c>
      <c r="O109" t="str">
        <f>"minutes: "&amp;B$13&amp;","</f>
        <v>minutes: 0,</v>
      </c>
      <c r="P109" t="str">
        <f>"minutes: "&amp;B$5&amp;","</f>
        <v>minutes: 64,</v>
      </c>
      <c r="Q109" t="str">
        <f>"minutes: "&amp;B$10&amp;","</f>
        <v>minutes: 32,</v>
      </c>
      <c r="R109" t="str">
        <f>"minutes: "&amp;B$2&amp;","</f>
        <v>minutes: 0,</v>
      </c>
      <c r="S109" t="str">
        <f>"minutes: "&amp;B$19&amp;","</f>
        <v>minutes: 57,</v>
      </c>
      <c r="T109" t="str">
        <f>"minutes: "&amp;B$17&amp;","</f>
        <v>minutes: 79,</v>
      </c>
      <c r="U109" t="str">
        <f>"minutes: "&amp;B$18&amp;","</f>
        <v>minutes: 0,</v>
      </c>
      <c r="V109" t="str">
        <f>"minutes: "&amp;B$16&amp;","</f>
        <v>minutes: 24,</v>
      </c>
      <c r="W109" t="str">
        <f>"minutes: "&amp;B$6&amp;","</f>
        <v>minutes: 8,</v>
      </c>
    </row>
    <row r="110" spans="1:23" x14ac:dyDescent="0.3">
      <c r="A110" t="str">
        <f>"goals: "&amp;$C$4&amp;","</f>
        <v>goals: 0,</v>
      </c>
      <c r="B110" t="str">
        <f>"goals: "&amp;$C$15&amp;","</f>
        <v>goals: 0,</v>
      </c>
      <c r="C110" t="str">
        <f>"goals: "&amp;$C$9&amp;","</f>
        <v>goals: 0,</v>
      </c>
      <c r="D110" t="str">
        <f>"goals: "&amp;$C$24&amp;","</f>
        <v>goals: 0,</v>
      </c>
      <c r="E110" t="str">
        <f>"goals: "&amp;$C$12&amp;","</f>
        <v>goals: 0,</v>
      </c>
      <c r="F110" t="str">
        <f>"goals: "&amp;$C$22&amp;","</f>
        <v>goals: 1,</v>
      </c>
      <c r="G110" t="str">
        <f>"goals: "&amp;$C$3&amp;","</f>
        <v>goals: 0,</v>
      </c>
      <c r="H110" t="str">
        <f>"goals: "&amp;$C$7&amp;","</f>
        <v>goals: 0,</v>
      </c>
      <c r="I110" t="str">
        <f>"goals: "&amp;$C$8&amp;","</f>
        <v>goals: 0,</v>
      </c>
      <c r="J110" t="str">
        <f>"goals: "&amp;$C$23&amp;","</f>
        <v>goals: 0,</v>
      </c>
      <c r="K110" t="str">
        <f>"goals: "&amp;$C$20&amp;","</f>
        <v>goals: 0,</v>
      </c>
      <c r="L110" t="str">
        <f>"goals: "&amp;$C$14&amp;","</f>
        <v>goals: 0,</v>
      </c>
      <c r="M110" t="str">
        <f>"goals: "&amp;$C$21&amp;","</f>
        <v>goals: 0,</v>
      </c>
      <c r="N110" t="str">
        <f>"goals: "&amp;$C$11&amp;","</f>
        <v>goals: 0,</v>
      </c>
      <c r="O110" t="str">
        <f>"goals: "&amp;$C$13&amp;","</f>
        <v>goals: 0,</v>
      </c>
      <c r="P110" t="str">
        <f>"goals: "&amp;$C$5&amp;","</f>
        <v>goals: 0,</v>
      </c>
      <c r="Q110" t="str">
        <f>"goals: "&amp;$C$10&amp;","</f>
        <v>goals: 0,</v>
      </c>
      <c r="R110" t="str">
        <f>"goals: "&amp;$C$2&amp;","</f>
        <v>goals: 0,</v>
      </c>
      <c r="S110" t="str">
        <f>"goals: "&amp;$C$19&amp;","</f>
        <v>goals: 0,</v>
      </c>
      <c r="T110" t="str">
        <f>"goals: "&amp;$C$17&amp;","</f>
        <v>goals: 0,</v>
      </c>
      <c r="U110" t="str">
        <f>"goals: "&amp;$C$18&amp;","</f>
        <v>goals: 0,</v>
      </c>
      <c r="V110" t="str">
        <f>"goals: "&amp;$C$16&amp;","</f>
        <v>goals: 0,</v>
      </c>
      <c r="W110" t="str">
        <f>"goals: "&amp;$C$6&amp;","</f>
        <v>goals: 0,</v>
      </c>
    </row>
    <row r="111" spans="1:23" x14ac:dyDescent="0.3">
      <c r="A111" t="str">
        <f>"assists: "&amp;$D$4&amp;","</f>
        <v>assists: 0,</v>
      </c>
      <c r="B111" t="str">
        <f>"assists: "&amp;$D$15&amp;","</f>
        <v>assists: 1,</v>
      </c>
      <c r="C111" t="str">
        <f>"assists: "&amp;$D$9&amp;","</f>
        <v>assists: 0,</v>
      </c>
      <c r="D111" t="str">
        <f>"assists: "&amp;$D$24&amp;","</f>
        <v>assists: 0,</v>
      </c>
      <c r="E111" t="str">
        <f>"assists: "&amp;$D$12&amp;","</f>
        <v>assists: 0,</v>
      </c>
      <c r="F111" t="str">
        <f>"assists: "&amp;$D$22&amp;","</f>
        <v>assists: 0,</v>
      </c>
      <c r="G111" t="str">
        <f>"assists: "&amp;$D$3&amp;","</f>
        <v>assists: 0,</v>
      </c>
      <c r="H111" t="str">
        <f>"assists: "&amp;$D$7&amp;","</f>
        <v>assists: 0,</v>
      </c>
      <c r="I111" t="str">
        <f>"assists: "&amp;$D$8&amp;","</f>
        <v>assists: 0,</v>
      </c>
      <c r="J111" t="str">
        <f>"assists: "&amp;$D$23&amp;","</f>
        <v>assists: 0,</v>
      </c>
      <c r="K111" t="str">
        <f>"assists: "&amp;$D$20&amp;","</f>
        <v>assists: 0,</v>
      </c>
      <c r="L111" t="str">
        <f>"assists: "&amp;$D$14&amp;","</f>
        <v>assists: 0,</v>
      </c>
      <c r="M111" t="str">
        <f>"assists: "&amp;$D$21&amp;","</f>
        <v>assists: 0,</v>
      </c>
      <c r="N111" t="str">
        <f>"assists: "&amp;$D$11&amp;","</f>
        <v>assists: 0,</v>
      </c>
      <c r="O111" t="str">
        <f>"assists: "&amp;$D$13&amp;","</f>
        <v>assists: 0,</v>
      </c>
      <c r="P111" t="str">
        <f>"assists: "&amp;$D$5&amp;","</f>
        <v>assists: 0,</v>
      </c>
      <c r="Q111" t="str">
        <f>"assists: "&amp;$D$10&amp;","</f>
        <v>assists: 0,</v>
      </c>
      <c r="R111" t="str">
        <f>"assists: "&amp;$D$2&amp;","</f>
        <v>assists: 0,</v>
      </c>
      <c r="S111" t="str">
        <f>"assists: "&amp;$D$19&amp;","</f>
        <v>assists: 0,</v>
      </c>
      <c r="T111" t="str">
        <f>"assists: "&amp;$D$17&amp;","</f>
        <v>assists: 0,</v>
      </c>
      <c r="U111" t="str">
        <f>"assists: "&amp;$D$18&amp;","</f>
        <v>assists: 0,</v>
      </c>
      <c r="V111" t="str">
        <f>"assists: "&amp;$D$16&amp;","</f>
        <v>assists: 0,</v>
      </c>
      <c r="W111" t="str">
        <f>"assists: "&amp;$D$6&amp;","</f>
        <v>assists: 0,</v>
      </c>
    </row>
    <row r="112" spans="1:23" x14ac:dyDescent="0.3">
      <c r="A112" t="str">
        <f>"keyPasses: "&amp;$E$4&amp;","</f>
        <v>keyPasses: 0,</v>
      </c>
      <c r="B112" t="str">
        <f>"keyPasses: "&amp;$E$15&amp;","</f>
        <v>keyPasses: 1,</v>
      </c>
      <c r="C112" t="str">
        <f>"keyPasses: "&amp;$E$9&amp;","</f>
        <v>keyPasses: 0,</v>
      </c>
      <c r="D112" t="str">
        <f>"keyPasses: "&amp;$E$24&amp;","</f>
        <v>keyPasses: 0,</v>
      </c>
      <c r="E112" t="str">
        <f>"keyPasses: "&amp;$E$12&amp;","</f>
        <v>keyPasses: 0,</v>
      </c>
      <c r="F112" t="str">
        <f>"keyPasses: "&amp;$E$22&amp;","</f>
        <v>keyPasses: 0,</v>
      </c>
      <c r="G112" t="str">
        <f>"keyPasses: "&amp;$E$3&amp;","</f>
        <v>keyPasses: 0,</v>
      </c>
      <c r="H112" t="str">
        <f>"keyPasses: "&amp;$E$7&amp;","</f>
        <v>keyPasses: 0,</v>
      </c>
      <c r="I112" t="str">
        <f>"keyPasses: "&amp;$E$8&amp;","</f>
        <v>keyPasses: 0,</v>
      </c>
      <c r="J112" t="str">
        <f>"keyPasses: "&amp;$E$23&amp;","</f>
        <v>keyPasses: 0,</v>
      </c>
      <c r="K112" t="str">
        <f>"keyPasses: "&amp;$E$20&amp;","</f>
        <v>keyPasses: 0,</v>
      </c>
      <c r="L112" t="str">
        <f>"keyPasses: "&amp;$E$14&amp;","</f>
        <v>keyPasses: 0,</v>
      </c>
      <c r="M112" t="str">
        <f>"keyPasses: "&amp;$E$21&amp;","</f>
        <v>keyPasses: 0,</v>
      </c>
      <c r="N112" t="str">
        <f>"keyPasses: "&amp;$E$11&amp;","</f>
        <v>keyPasses: 0,</v>
      </c>
      <c r="O112" t="str">
        <f>"keyPasses: "&amp;$E$13&amp;","</f>
        <v>keyPasses: 0,</v>
      </c>
      <c r="P112" t="str">
        <f>"keyPasses: "&amp;$E$5&amp;","</f>
        <v>keyPasses: 0,</v>
      </c>
      <c r="Q112" t="str">
        <f>"keyPasses: "&amp;$E$10&amp;","</f>
        <v>keyPasses: 0,</v>
      </c>
      <c r="R112" t="str">
        <f>"keyPasses: "&amp;$E$2&amp;","</f>
        <v>keyPasses: 0,</v>
      </c>
      <c r="S112" t="str">
        <f>"keyPasses: "&amp;$E$19&amp;","</f>
        <v>keyPasses: 0,</v>
      </c>
      <c r="T112" t="str">
        <f>"keyPasses: "&amp;$E$17&amp;","</f>
        <v>keyPasses: 0,</v>
      </c>
      <c r="U112" t="str">
        <f>"keyPasses: "&amp;$E$18&amp;","</f>
        <v>keyPasses: 0,</v>
      </c>
      <c r="V112" t="str">
        <f>"keyPasses: "&amp;$E$16&amp;","</f>
        <v>keyPasses: 0,</v>
      </c>
      <c r="W112" t="str">
        <f>"keyPasses: "&amp;$E$6&amp;","</f>
        <v>keyPasses: 0,</v>
      </c>
    </row>
    <row r="113" spans="1:23" x14ac:dyDescent="0.3">
      <c r="A113" t="str">
        <f>"startCA: "&amp;$F$4&amp;","</f>
        <v>startCA: 0,</v>
      </c>
      <c r="B113" t="str">
        <f>"startCA: "&amp;$F$15&amp;","</f>
        <v>startCA: 3,</v>
      </c>
      <c r="C113" t="str">
        <f>"startCA: "&amp;$F$9&amp;","</f>
        <v>startCA: 3,</v>
      </c>
      <c r="D113" t="str">
        <f>"startCA: "&amp;$F$24&amp;","</f>
        <v>startCA: 1,</v>
      </c>
      <c r="E113" t="str">
        <f>"startCA: "&amp;$F$12&amp;","</f>
        <v>startCA: 1,</v>
      </c>
      <c r="F113" t="str">
        <f>"startCA: "&amp;$F$22&amp;","</f>
        <v>startCA: 1,</v>
      </c>
      <c r="G113" t="str">
        <f>"startCA: "&amp;$F$3&amp;","</f>
        <v>startCA: 0,</v>
      </c>
      <c r="H113" t="str">
        <f>"startCA: "&amp;$F$7&amp;","</f>
        <v>startCA: 1,</v>
      </c>
      <c r="I113" t="str">
        <f>"startCA: "&amp;$F$8&amp;","</f>
        <v>startCA: 0,</v>
      </c>
      <c r="J113" t="str">
        <f>"startCA: "&amp;$F$23&amp;","</f>
        <v>startCA: 0,</v>
      </c>
      <c r="K113" t="str">
        <f>"startCA: "&amp;$F$20&amp;","</f>
        <v>startCA: 0,</v>
      </c>
      <c r="L113" t="str">
        <f>"startCA: "&amp;$F$14&amp;","</f>
        <v>startCA: 1,</v>
      </c>
      <c r="M113" t="str">
        <f>"startCA: "&amp;$F$21&amp;","</f>
        <v>startCA: 4,</v>
      </c>
      <c r="N113" t="str">
        <f>"startCA: "&amp;$F$11&amp;","</f>
        <v>startCA: 0,</v>
      </c>
      <c r="O113" t="str">
        <f>"startCA: "&amp;$F$13&amp;","</f>
        <v>startCA: 0,</v>
      </c>
      <c r="P113" t="str">
        <f>"startCA: "&amp;$F$5&amp;","</f>
        <v>startCA: 1,</v>
      </c>
      <c r="Q113" t="str">
        <f>"startCA: "&amp;$F$10&amp;","</f>
        <v>startCA: 2,</v>
      </c>
      <c r="R113" t="str">
        <f>"startCA: "&amp;$F$2&amp;","</f>
        <v>startCA: 0,</v>
      </c>
      <c r="S113" t="str">
        <f>"startCA: "&amp;$F$19&amp;","</f>
        <v>startCA: 0,</v>
      </c>
      <c r="T113" t="str">
        <f>"startCA: "&amp;$F$17&amp;","</f>
        <v>startCA: 2,</v>
      </c>
      <c r="U113" t="str">
        <f>"startCA: "&amp;$F$18&amp;","</f>
        <v>startCA: 0,</v>
      </c>
      <c r="V113" t="str">
        <f>"startCA: "&amp;$F$16&amp;","</f>
        <v>startCA: 0,</v>
      </c>
      <c r="W113" t="str">
        <f>"startCA: "&amp;$F$6&amp;","</f>
        <v>startCA: 0,</v>
      </c>
    </row>
    <row r="114" spans="1:23" x14ac:dyDescent="0.3">
      <c r="A114" t="str">
        <f>"outplayFWD: "&amp;$G$4&amp;","</f>
        <v>outplayFWD: 1,</v>
      </c>
      <c r="B114" t="str">
        <f>"outplayFWD: "&amp;$G$15&amp;","</f>
        <v>outplayFWD: 0,</v>
      </c>
      <c r="C114" t="str">
        <f>"outplayFWD: "&amp;$G$9&amp;","</f>
        <v>outplayFWD: 0,</v>
      </c>
      <c r="D114" t="str">
        <f>"outplayFWD: "&amp;$G$24&amp;","</f>
        <v>outplayFWD: 0,</v>
      </c>
      <c r="E114" t="str">
        <f>"outplayFWD: "&amp;$G$12&amp;","</f>
        <v>outplayFWD: 0,</v>
      </c>
      <c r="F114" t="str">
        <f>"outplayFWD: "&amp;$G$22&amp;","</f>
        <v>outplayFWD: 0,</v>
      </c>
      <c r="G114" t="str">
        <f>"outplayFWD: "&amp;$G$3&amp;","</f>
        <v>outplayFWD: 0,</v>
      </c>
      <c r="H114" t="str">
        <f>"outplayFWD: "&amp;$G$7&amp;","</f>
        <v>outplayFWD: 0,</v>
      </c>
      <c r="I114" t="str">
        <f>"outplayFWD: "&amp;$G$8&amp;","</f>
        <v>outplayFWD: 0,</v>
      </c>
      <c r="J114" t="str">
        <f>"outplayFWD: "&amp;$G$23&amp;","</f>
        <v>outplayFWD: 0,</v>
      </c>
      <c r="K114" t="str">
        <f>"outplayFWD: "&amp;$G$20&amp;","</f>
        <v>outplayFWD: 0,</v>
      </c>
      <c r="L114" t="str">
        <f>"outplayFWD: "&amp;$G$14&amp;","</f>
        <v>outplayFWD: 0,</v>
      </c>
      <c r="M114" t="str">
        <f>"outplayFWD: "&amp;$G$21&amp;","</f>
        <v>outplayFWD: 1,</v>
      </c>
      <c r="N114" t="str">
        <f>"outplayFWD: "&amp;$G$11&amp;","</f>
        <v>outplayFWD: 0,</v>
      </c>
      <c r="O114" t="str">
        <f>"outplayFWD: "&amp;$G$13&amp;","</f>
        <v>outplayFWD: 0,</v>
      </c>
      <c r="P114" t="str">
        <f>"outplayFWD: "&amp;$G$5&amp;","</f>
        <v>outplayFWD: 1,</v>
      </c>
      <c r="Q114" t="str">
        <f>"outplayFWD: "&amp;$G$10&amp;","</f>
        <v>outplayFWD: 0,</v>
      </c>
      <c r="R114" t="str">
        <f>"outplayFWD: "&amp;$G$2&amp;","</f>
        <v>outplayFWD: 0,</v>
      </c>
      <c r="S114" t="str">
        <f>"outplayFWD: "&amp;$G$19&amp;","</f>
        <v>outplayFWD: 0,</v>
      </c>
      <c r="T114" t="str">
        <f>"outplayFWD: "&amp;$G$17&amp;","</f>
        <v>outplayFWD: 0,</v>
      </c>
      <c r="U114" t="str">
        <f>"outplayFWD: "&amp;$G$18&amp;","</f>
        <v>outplayFWD: 0,</v>
      </c>
      <c r="V114" t="str">
        <f>"outplayFWD: "&amp;$G$16&amp;","</f>
        <v>outplayFWD: 0,</v>
      </c>
      <c r="W114" t="str">
        <f>"outplayFWD: "&amp;$G$6&amp;","</f>
        <v>outplayFWD: 0,</v>
      </c>
    </row>
    <row r="115" spans="1:23" x14ac:dyDescent="0.3">
      <c r="A115" t="str">
        <f>"effCrosses: "&amp;$H$4&amp;","</f>
        <v>effCrosses: 0,</v>
      </c>
      <c r="B115" t="str">
        <f>"effCrosses: "&amp;$H$15&amp;","</f>
        <v>effCrosses: 0,</v>
      </c>
      <c r="C115" t="str">
        <f>"effCrosses: "&amp;$H$9&amp;","</f>
        <v>effCrosses: 0,</v>
      </c>
      <c r="D115" t="str">
        <f>"effCrosses: "&amp;$H$24&amp;","</f>
        <v>effCrosses: 1,</v>
      </c>
      <c r="E115" t="str">
        <f>"effCrosses: "&amp;$H$12&amp;","</f>
        <v>effCrosses: 0,</v>
      </c>
      <c r="F115" t="str">
        <f>"effCrosses: "&amp;$H$22&amp;","</f>
        <v>effCrosses: 0,</v>
      </c>
      <c r="G115" t="str">
        <f>"effCrosses: "&amp;$H$3&amp;","</f>
        <v>effCrosses: 0,</v>
      </c>
      <c r="H115" t="str">
        <f>"effCrosses: "&amp;$H$7&amp;","</f>
        <v>effCrosses: 0,</v>
      </c>
      <c r="I115" t="str">
        <f>"effCrosses: "&amp;$H$8&amp;","</f>
        <v>effCrosses: 0,</v>
      </c>
      <c r="J115" t="str">
        <f>"effCrosses: "&amp;$H$23&amp;","</f>
        <v>effCrosses: 0,</v>
      </c>
      <c r="K115" t="str">
        <f>"effCrosses: "&amp;$H$20&amp;","</f>
        <v>effCrosses: 0,</v>
      </c>
      <c r="L115" t="str">
        <f>"effCrosses: "&amp;$H$14&amp;","</f>
        <v>effCrosses: 2,</v>
      </c>
      <c r="M115" t="str">
        <f>"effCrosses: "&amp;$H$21&amp;","</f>
        <v>effCrosses: 0,</v>
      </c>
      <c r="N115" t="str">
        <f>"effCrosses: "&amp;$H$11&amp;","</f>
        <v>effCrosses: 0,</v>
      </c>
      <c r="O115" t="str">
        <f>"effCrosses: "&amp;$H$13&amp;","</f>
        <v>effCrosses: 0,</v>
      </c>
      <c r="P115" t="str">
        <f>"effCrosses: "&amp;$H$5&amp;","</f>
        <v>effCrosses: 0,</v>
      </c>
      <c r="Q115" t="str">
        <f>"effCrosses: "&amp;$H$10&amp;","</f>
        <v>effCrosses: 0,</v>
      </c>
      <c r="R115" t="str">
        <f>"effCrosses: "&amp;$H$2&amp;","</f>
        <v>effCrosses: 0,</v>
      </c>
      <c r="S115" t="str">
        <f>"effCrosses: "&amp;$H$19&amp;","</f>
        <v>effCrosses: 1,</v>
      </c>
      <c r="T115" t="str">
        <f>"effCrosses: "&amp;$H$17&amp;","</f>
        <v>effCrosses: 1,</v>
      </c>
      <c r="U115" t="str">
        <f>"effCrosses: "&amp;$H$18&amp;","</f>
        <v>effCrosses: 0,</v>
      </c>
      <c r="V115" t="str">
        <f>"effCrosses: "&amp;$H$16&amp;","</f>
        <v>effCrosses: 0,</v>
      </c>
      <c r="W115" t="str">
        <f>"effCrosses: "&amp;$H$6&amp;","</f>
        <v>effCrosses: 0,</v>
      </c>
    </row>
    <row r="116" spans="1:23" x14ac:dyDescent="0.3">
      <c r="A116" t="str">
        <f>"oneVones: "&amp;$I$4&amp;","</f>
        <v>oneVones: 0,</v>
      </c>
      <c r="B116" t="str">
        <f>"oneVones: "&amp;$I$15&amp;","</f>
        <v>oneVones: 0,</v>
      </c>
      <c r="C116" t="str">
        <f>"oneVones: "&amp;$I$9&amp;","</f>
        <v>oneVones: 2,</v>
      </c>
      <c r="D116" t="str">
        <f>"oneVones: "&amp;$I$24&amp;","</f>
        <v>oneVones: 1,</v>
      </c>
      <c r="E116" t="str">
        <f>"oneVones: "&amp;$I$12&amp;","</f>
        <v>oneVones: 4,</v>
      </c>
      <c r="F116" t="str">
        <f>"oneVones: "&amp;$I$22&amp;","</f>
        <v>oneVones: 0,</v>
      </c>
      <c r="G116" t="str">
        <f>"oneVones: "&amp;$I$3&amp;","</f>
        <v>oneVones: 0,</v>
      </c>
      <c r="H116" t="str">
        <f>"oneVones: "&amp;$I$7&amp;","</f>
        <v>oneVones: 0,</v>
      </c>
      <c r="I116" t="str">
        <f>"oneVones: "&amp;$I$8&amp;","</f>
        <v>oneVones: 0,</v>
      </c>
      <c r="J116" t="str">
        <f>"oneVones: "&amp;$I$23&amp;","</f>
        <v>oneVones: 0,</v>
      </c>
      <c r="K116" t="str">
        <f>"oneVones: "&amp;$I$20&amp;","</f>
        <v>oneVones: 0,</v>
      </c>
      <c r="L116" t="str">
        <f>"oneVones: "&amp;$I$14&amp;","</f>
        <v>oneVones: 0,</v>
      </c>
      <c r="M116" t="str">
        <f>"oneVones: "&amp;$I$21&amp;","</f>
        <v>oneVones: 1,</v>
      </c>
      <c r="N116" t="str">
        <f>"oneVones: "&amp;$I$11&amp;","</f>
        <v>oneVones: 0,</v>
      </c>
      <c r="O116" t="str">
        <f>"oneVones: "&amp;$I$13&amp;","</f>
        <v>oneVones: 0,</v>
      </c>
      <c r="P116" t="str">
        <f>"oneVones: "&amp;$I$5&amp;","</f>
        <v>oneVones: 0,</v>
      </c>
      <c r="Q116" t="str">
        <f>"oneVones: "&amp;$I$10&amp;","</f>
        <v>oneVones: 0,</v>
      </c>
      <c r="R116" t="str">
        <f>"oneVones: "&amp;$I$2&amp;","</f>
        <v>oneVones: 0,</v>
      </c>
      <c r="S116" t="str">
        <f>"oneVones: "&amp;$I$19&amp;","</f>
        <v>oneVones: 0,</v>
      </c>
      <c r="T116" t="str">
        <f>"oneVones: "&amp;$I$17&amp;","</f>
        <v>oneVones: 1,</v>
      </c>
      <c r="U116" t="str">
        <f>"oneVones: "&amp;$I$18&amp;","</f>
        <v>oneVones: 0,</v>
      </c>
      <c r="V116" t="str">
        <f>"oneVones: "&amp;$I$16&amp;","</f>
        <v>oneVones: 0,</v>
      </c>
      <c r="W116" t="str">
        <f>"oneVones: "&amp;$I$6&amp;","</f>
        <v>oneVones: 0,</v>
      </c>
    </row>
    <row r="117" spans="1:23" x14ac:dyDescent="0.3">
      <c r="A117" t="str">
        <f>"attHeaders: "&amp;$J$4&amp;","</f>
        <v>attHeaders: 8,</v>
      </c>
      <c r="B117" t="str">
        <f>"attHeaders: "&amp;$J$15&amp;","</f>
        <v>attHeaders: 0,</v>
      </c>
      <c r="C117" t="str">
        <f>"attHeaders: "&amp;$J$9&amp;","</f>
        <v>attHeaders: 0,</v>
      </c>
      <c r="D117" t="str">
        <f>"attHeaders: "&amp;$J$24&amp;","</f>
        <v>attHeaders: 0,</v>
      </c>
      <c r="E117" t="str">
        <f>"attHeaders: "&amp;$J$12&amp;","</f>
        <v>attHeaders: 0,</v>
      </c>
      <c r="F117" t="str">
        <f>"attHeaders: "&amp;$J$22&amp;","</f>
        <v>attHeaders: 2,</v>
      </c>
      <c r="G117" t="str">
        <f>"attHeaders: "&amp;$J$3&amp;","</f>
        <v>attHeaders: 0,</v>
      </c>
      <c r="H117" t="str">
        <f>"attHeaders: "&amp;$J$7&amp;","</f>
        <v>attHeaders: 0,</v>
      </c>
      <c r="I117" t="str">
        <f>"attHeaders: "&amp;$J$8&amp;","</f>
        <v>attHeaders: 0,</v>
      </c>
      <c r="J117" t="str">
        <f>"attHeaders: "&amp;$J$23&amp;","</f>
        <v>attHeaders: 0,</v>
      </c>
      <c r="K117" t="str">
        <f>"attHeaders: "&amp;$J$20&amp;","</f>
        <v>attHeaders: 0,</v>
      </c>
      <c r="L117" t="str">
        <f>"attHeaders: "&amp;$J$14&amp;","</f>
        <v>attHeaders: 0,</v>
      </c>
      <c r="M117" t="str">
        <f>"attHeaders: "&amp;$J$21&amp;","</f>
        <v>attHeaders: 4,</v>
      </c>
      <c r="N117" t="str">
        <f>"attHeaders: "&amp;$J$11&amp;","</f>
        <v>attHeaders: 1,</v>
      </c>
      <c r="O117" t="str">
        <f>"attHeaders: "&amp;$J$13&amp;","</f>
        <v>attHeaders: 0,</v>
      </c>
      <c r="P117" t="str">
        <f>"attHeaders: "&amp;$J$5&amp;","</f>
        <v>attHeaders: 1,</v>
      </c>
      <c r="Q117" t="str">
        <f>"attHeaders: "&amp;$J$10&amp;","</f>
        <v>attHeaders: 1,</v>
      </c>
      <c r="R117" t="str">
        <f>"attHeaders: "&amp;$J$2&amp;","</f>
        <v>attHeaders: 0,</v>
      </c>
      <c r="S117" t="str">
        <f>"attHeaders: "&amp;$J$19&amp;","</f>
        <v>attHeaders: 0,</v>
      </c>
      <c r="T117" t="str">
        <f>"attHeaders: "&amp;$J$17&amp;","</f>
        <v>attHeaders: 1,</v>
      </c>
      <c r="U117" t="str">
        <f>"attHeaders: "&amp;$J$18&amp;","</f>
        <v>attHeaders: 0,</v>
      </c>
      <c r="V117" t="str">
        <f>"attHeaders: "&amp;$J$16&amp;","</f>
        <v>attHeaders: 0,</v>
      </c>
      <c r="W117" t="str">
        <f>"attHeaders: "&amp;$J$6&amp;","</f>
        <v>attHeaders: 0,</v>
      </c>
    </row>
    <row r="118" spans="1:23" x14ac:dyDescent="0.3">
      <c r="A118" t="str">
        <f>"spEarned: "&amp;$K$4&amp;","</f>
        <v>spEarned: 3,</v>
      </c>
      <c r="B118" t="str">
        <f>"spEarned: "&amp;$K$15&amp;","</f>
        <v>spEarned: 3,</v>
      </c>
      <c r="C118" t="str">
        <f>"spEarned: "&amp;$K$9&amp;","</f>
        <v>spEarned: 4,</v>
      </c>
      <c r="D118" t="str">
        <f>"spEarned: "&amp;$K$24&amp;","</f>
        <v>spEarned: 0,</v>
      </c>
      <c r="E118" t="str">
        <f>"spEarned: "&amp;$K$12&amp;","</f>
        <v>spEarned: 1,</v>
      </c>
      <c r="F118" t="str">
        <f>"spEarned: "&amp;$K$22&amp;","</f>
        <v>spEarned: 0,</v>
      </c>
      <c r="G118" t="str">
        <f>"spEarned: "&amp;$K$3&amp;","</f>
        <v>spEarned: 0,</v>
      </c>
      <c r="H118" t="str">
        <f>"spEarned: "&amp;$K$7&amp;","</f>
        <v>spEarned: 0,</v>
      </c>
      <c r="I118" t="str">
        <f>"spEarned: "&amp;$K$8&amp;","</f>
        <v>spEarned: 0,</v>
      </c>
      <c r="J118" t="str">
        <f>"spEarned: "&amp;$K$23&amp;","</f>
        <v>spEarned: 0,</v>
      </c>
      <c r="K118" t="str">
        <f>"spEarned: "&amp;$K$20&amp;","</f>
        <v>spEarned: 0,</v>
      </c>
      <c r="L118" t="str">
        <f>"spEarned: "&amp;$K$14&amp;","</f>
        <v>spEarned: 1,</v>
      </c>
      <c r="M118" t="str">
        <f>"spEarned: "&amp;$K$21&amp;","</f>
        <v>spEarned: 1,</v>
      </c>
      <c r="N118" t="str">
        <f>"spEarned: "&amp;$K$11&amp;","</f>
        <v>spEarned: 0,</v>
      </c>
      <c r="O118" t="str">
        <f>"spEarned: "&amp;$K$13&amp;","</f>
        <v>spEarned: 0,</v>
      </c>
      <c r="P118" t="str">
        <f>"spEarned: "&amp;$K$5&amp;","</f>
        <v>spEarned: 0,</v>
      </c>
      <c r="Q118" t="str">
        <f>"spEarned: "&amp;$K$10&amp;","</f>
        <v>spEarned: 0,</v>
      </c>
      <c r="R118" t="str">
        <f>"spEarned: "&amp;$K$2&amp;","</f>
        <v>spEarned: 0,</v>
      </c>
      <c r="S118" t="str">
        <f>"spEarned: "&amp;$K$19&amp;","</f>
        <v>spEarned: 0,</v>
      </c>
      <c r="T118" t="str">
        <f>"spEarned: "&amp;$K$17&amp;","</f>
        <v>spEarned: 4,</v>
      </c>
      <c r="U118" t="str">
        <f>"spEarned: "&amp;$K$18&amp;","</f>
        <v>spEarned: 0,</v>
      </c>
      <c r="V118" t="str">
        <f>"spEarned: "&amp;$K$16&amp;","</f>
        <v>spEarned: 1,</v>
      </c>
      <c r="W118" t="str">
        <f>"spEarned: "&amp;$K$6&amp;","</f>
        <v>spEarned: 0,</v>
      </c>
    </row>
    <row r="119" spans="1:23" x14ac:dyDescent="0.3">
      <c r="A119" t="str">
        <f>"offTargetShots: "&amp;$L$4&amp;","</f>
        <v>offTargetShots: 1,</v>
      </c>
      <c r="B119" t="str">
        <f>"offTargetShots: "&amp;$L$15&amp;","</f>
        <v>offTargetShots: 0,</v>
      </c>
      <c r="C119" t="str">
        <f>"offTargetShots: "&amp;$L$9&amp;","</f>
        <v>offTargetShots: 0,</v>
      </c>
      <c r="D119" t="str">
        <f>"offTargetShots: "&amp;$L$24&amp;","</f>
        <v>offTargetShots: 0,</v>
      </c>
      <c r="E119" t="str">
        <f>"offTargetShots: "&amp;$L$12&amp;","</f>
        <v>offTargetShots: 0,</v>
      </c>
      <c r="F119" t="str">
        <f>"offTargetShots: "&amp;$L$22&amp;","</f>
        <v>offTargetShots: 3,</v>
      </c>
      <c r="G119" t="str">
        <f>"offTargetShots: "&amp;$L$3&amp;","</f>
        <v>offTargetShots: 0,</v>
      </c>
      <c r="H119" t="str">
        <f>"offTargetShots: "&amp;$L$7&amp;","</f>
        <v>offTargetShots: 0,</v>
      </c>
      <c r="I119" t="str">
        <f>"offTargetShots: "&amp;$L$8&amp;","</f>
        <v>offTargetShots: 0,</v>
      </c>
      <c r="J119" t="str">
        <f>"offTargetShots: "&amp;$L$23&amp;","</f>
        <v>offTargetShots: 0,</v>
      </c>
      <c r="K119" t="str">
        <f>"offTargetShots: "&amp;$L$20&amp;","</f>
        <v>offTargetShots: 0,</v>
      </c>
      <c r="L119" t="str">
        <f>"offTargetShots: "&amp;$L$14&amp;","</f>
        <v>offTargetShots: 0,</v>
      </c>
      <c r="M119" t="str">
        <f>"offTargetShots: "&amp;$L$21&amp;","</f>
        <v>offTargetShots: 1,</v>
      </c>
      <c r="N119" t="str">
        <f>"offTargetShots: "&amp;$L$11&amp;","</f>
        <v>offTargetShots: 0,</v>
      </c>
      <c r="O119" t="str">
        <f>"offTargetShots: "&amp;$L$13&amp;","</f>
        <v>offTargetShots: 0,</v>
      </c>
      <c r="P119" t="str">
        <f>"offTargetShots: "&amp;$L$5&amp;","</f>
        <v>offTargetShots: 0,</v>
      </c>
      <c r="Q119" t="str">
        <f>"offTargetShots: "&amp;$L$10&amp;","</f>
        <v>offTargetShots: 1,</v>
      </c>
      <c r="R119" t="str">
        <f>"offTargetShots: "&amp;$L$2&amp;","</f>
        <v>offTargetShots: 0,</v>
      </c>
      <c r="S119" t="str">
        <f>"offTargetShots: "&amp;$L$19&amp;","</f>
        <v>offTargetShots: 0,</v>
      </c>
      <c r="T119" t="str">
        <f>"offTargetShots: "&amp;$L$17&amp;","</f>
        <v>offTargetShots: 0,</v>
      </c>
      <c r="U119" t="str">
        <f>"offTargetShots: "&amp;$L$18&amp;","</f>
        <v>offTargetShots: 0,</v>
      </c>
      <c r="V119" t="str">
        <f>"offTargetShots: "&amp;$L$16&amp;","</f>
        <v>offTargetShots: 0,</v>
      </c>
      <c r="W119" t="str">
        <f>"offTargetShots: "&amp;$L$6&amp;","</f>
        <v>offTargetShots: 0,</v>
      </c>
    </row>
    <row r="120" spans="1:23" x14ac:dyDescent="0.3">
      <c r="A120" t="str">
        <f>"onTargetShots: "&amp;$M$4&amp;","</f>
        <v>onTargetShots: 0,</v>
      </c>
      <c r="B120" t="str">
        <f>"onTargetShots: "&amp;$M$15&amp;","</f>
        <v>onTargetShots: 0,</v>
      </c>
      <c r="C120" t="str">
        <f>"onTargetShots: "&amp;$M$9&amp;","</f>
        <v>onTargetShots: 0,</v>
      </c>
      <c r="D120" t="str">
        <f>"onTargetShots: "&amp;$M$24&amp;","</f>
        <v>onTargetShots: 0,</v>
      </c>
      <c r="E120" t="str">
        <f>"onTargetShots: "&amp;$M$12&amp;","</f>
        <v>onTargetShots: 0,</v>
      </c>
      <c r="F120" t="str">
        <f>"onTargetShots: "&amp;$M$22&amp;","</f>
        <v>onTargetShots: 1,</v>
      </c>
      <c r="G120" t="str">
        <f>"onTargetShots: "&amp;$M$3&amp;","</f>
        <v>onTargetShots: 0,</v>
      </c>
      <c r="H120" t="str">
        <f>"onTargetShots: "&amp;$M$7&amp;","</f>
        <v>onTargetShots: 0,</v>
      </c>
      <c r="I120" t="str">
        <f>"onTargetShots: "&amp;$M$8&amp;","</f>
        <v>onTargetShots: 0,</v>
      </c>
      <c r="J120" t="str">
        <f>"onTargetShots: "&amp;$M$23&amp;","</f>
        <v>onTargetShots: 0,</v>
      </c>
      <c r="K120" t="str">
        <f>"onTargetShots: "&amp;$M$20&amp;","</f>
        <v>onTargetShots: 0,</v>
      </c>
      <c r="L120" t="str">
        <f>"onTargetShots: "&amp;$M$14&amp;","</f>
        <v>onTargetShots: 0,</v>
      </c>
      <c r="M120" t="str">
        <f>"onTargetShots: "&amp;$M$21&amp;","</f>
        <v>onTargetShots: 0,</v>
      </c>
      <c r="N120" t="str">
        <f>"onTargetShots: "&amp;$M$11&amp;","</f>
        <v>onTargetShots: 0,</v>
      </c>
      <c r="O120" t="str">
        <f>"onTargetShots: "&amp;$M$13&amp;","</f>
        <v>onTargetShots: 0,</v>
      </c>
      <c r="P120" t="str">
        <f>"onTargetShots: "&amp;$M$5&amp;","</f>
        <v>onTargetShots: 0,</v>
      </c>
      <c r="Q120" t="str">
        <f>"onTargetShots: "&amp;$M$10&amp;","</f>
        <v>onTargetShots: 0,</v>
      </c>
      <c r="R120" t="str">
        <f>"onTargetShots: "&amp;$M$2&amp;","</f>
        <v>onTargetShots: 0,</v>
      </c>
      <c r="S120" t="str">
        <f>"onTargetShots: "&amp;$M$19&amp;","</f>
        <v>onTargetShots: 0,</v>
      </c>
      <c r="T120" t="str">
        <f>"onTargetShots: "&amp;$M$17&amp;","</f>
        <v>onTargetShots: 0,</v>
      </c>
      <c r="U120" t="str">
        <f>"onTargetShots: "&amp;$M$18&amp;","</f>
        <v>onTargetShots: 0,</v>
      </c>
      <c r="V120" t="str">
        <f>"onTargetShots: "&amp;$M$16&amp;","</f>
        <v>onTargetShots: 0,</v>
      </c>
      <c r="W120" t="str">
        <f>"onTargetShots: "&amp;$M$6&amp;","</f>
        <v>onTargetShots: 0,</v>
      </c>
    </row>
    <row r="121" spans="1:23" x14ac:dyDescent="0.3">
      <c r="A121" t="str">
        <f>"totalOffActMin: "&amp;TEXT($O$4,"0.00")&amp;","</f>
        <v>totalOffActMin: 0.17,</v>
      </c>
      <c r="B121" t="str">
        <f>"totalOffActMin: "&amp;TEXT($O$15,"0.00")&amp;","</f>
        <v>totalOffActMin: 0.09,</v>
      </c>
      <c r="C121" t="str">
        <f>"totalOffActMin: "&amp;TEXT($O$9,"0.00")&amp;","</f>
        <v>totalOffActMin: 0.10,</v>
      </c>
      <c r="D121" t="str">
        <f>"totalOffActMin: "&amp;TEXT($O$24,"0.00")&amp;","</f>
        <v>totalOffActMin: 0.06,</v>
      </c>
      <c r="E121" t="str">
        <f>"totalOffActMin: "&amp;TEXT($O$12,"0.00")&amp;","</f>
        <v>totalOffActMin: 0.07,</v>
      </c>
      <c r="F121" t="str">
        <f>"totalOffActMin: "&amp;TEXT($O$22,"0.00")&amp;","</f>
        <v>totalOffActMin: 0.09,</v>
      </c>
      <c r="G121" t="str">
        <f>"totalOffActMin: "&amp;TEXT($O$3,"0.00")&amp;","</f>
        <v>totalOffActMin: 0.00,</v>
      </c>
      <c r="H121" t="str">
        <f>"totalOffActMin: "&amp;TEXT($O$7,"0.00")&amp;","</f>
        <v>totalOffActMin: 0.03,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0.07,</v>
      </c>
      <c r="M121" t="str">
        <f>"totalOffActMin: "&amp;TEXT($O$21,"0.00")&amp;","</f>
        <v>totalOffActMin: 0.20,</v>
      </c>
      <c r="N121" t="str">
        <f>"totalOffActMin: "&amp;TEXT($O$11,"0.00")&amp;","</f>
        <v>totalOffActMin: 0.07,</v>
      </c>
      <c r="O121" t="str">
        <f>"totalOffActMin: "&amp;TEXT($O$13,"0.00")&amp;","</f>
        <v>totalOffActMin: 0.00,</v>
      </c>
      <c r="P121" t="str">
        <f>"totalOffActMin: "&amp;TEXT($O$5,"0.00")&amp;","</f>
        <v>totalOffActMin: 0.03,</v>
      </c>
      <c r="Q121" t="str">
        <f>"totalOffActMin: "&amp;TEXT($O$10,"0.00")&amp;","</f>
        <v>totalOffActMin: 0.13,</v>
      </c>
      <c r="R121" t="str">
        <f>"totalOffActMin: "&amp;TEXT($O$2,"0.00")&amp;","</f>
        <v>totalOffActMin: 0.00,</v>
      </c>
      <c r="S121" t="str">
        <f>"totalOffActMin: "&amp;TEXT($O$19,"0.00")&amp;","</f>
        <v>totalOffActMin: 0.02,</v>
      </c>
      <c r="T121" t="str">
        <f>"totalOffActMin: "&amp;TEXT($O$17,"0.00")&amp;","</f>
        <v>totalOffActMin: 0.11,</v>
      </c>
      <c r="U121" t="str">
        <f>"totalOffActMin: "&amp;TEXT($O$18,"0.00")&amp;","</f>
        <v>totalOffActMin: 0.00,</v>
      </c>
      <c r="V121" t="str">
        <f>"totalOffActMin: "&amp;TEXT($O$16,"0.00")&amp;","</f>
        <v>totalOffActMin: 0.04,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0,</v>
      </c>
      <c r="B122" t="str">
        <f>"tackles: "&amp;$P$15&amp;","</f>
        <v>tackles: 0,</v>
      </c>
      <c r="C122" t="str">
        <f>"tackles: "&amp;$P$9&amp;","</f>
        <v>tackles: 1,</v>
      </c>
      <c r="D122" t="str">
        <f>"tackles: "&amp;$P$24&amp;","</f>
        <v>tackles: 5,</v>
      </c>
      <c r="E122" t="str">
        <f>"tackles: "&amp;$P$12&amp;","</f>
        <v>tackles: 4,</v>
      </c>
      <c r="F122" t="str">
        <f>"tackles: "&amp;$P$22&amp;","</f>
        <v>tackles: 5,</v>
      </c>
      <c r="G122" t="str">
        <f>"tackles: "&amp;$P$3&amp;","</f>
        <v>tackles: 0,</v>
      </c>
      <c r="H122" t="str">
        <f>"tackles: "&amp;$P$7&amp;","</f>
        <v>tackles: 2,</v>
      </c>
      <c r="I122" t="str">
        <f>"tackles: "&amp;$P$8&amp;","</f>
        <v>tackles: 0,</v>
      </c>
      <c r="J122" t="str">
        <f>"tackles: "&amp;$P$23&amp;","</f>
        <v>tackles: 0,</v>
      </c>
      <c r="K122" t="str">
        <f>"tackles: "&amp;$P$20&amp;","</f>
        <v>tackles: 0,</v>
      </c>
      <c r="L122" t="str">
        <f>"tackles: "&amp;$P$14&amp;","</f>
        <v>tackles: 0,</v>
      </c>
      <c r="M122" t="str">
        <f>"tackles: "&amp;$P$21&amp;","</f>
        <v>tackles: 5,</v>
      </c>
      <c r="N122" t="str">
        <f>"tackles: "&amp;$P$11&amp;","</f>
        <v>tackles: 0,</v>
      </c>
      <c r="O122" t="str">
        <f>"tackles: "&amp;$P$13&amp;","</f>
        <v>tackles: 0,</v>
      </c>
      <c r="P122" t="str">
        <f>"tackles: "&amp;$P$5&amp;","</f>
        <v>tackles: 0,</v>
      </c>
      <c r="Q122" t="str">
        <f>"tackles: "&amp;$P$10&amp;","</f>
        <v>tackles: 0,</v>
      </c>
      <c r="R122" t="str">
        <f>"tackles: "&amp;$P$2&amp;","</f>
        <v>tackles: 0,</v>
      </c>
      <c r="S122" t="str">
        <f>"tackles: "&amp;$P$19&amp;","</f>
        <v>tackles: 1,</v>
      </c>
      <c r="T122" t="str">
        <f>"tackles: "&amp;$P$17&amp;","</f>
        <v>tackles: 5,</v>
      </c>
      <c r="U122" t="str">
        <f>"tackles: "&amp;$P$18&amp;","</f>
        <v>tackles: 0,</v>
      </c>
      <c r="V122" t="str">
        <f>"tackles: "&amp;$P$16&amp;","</f>
        <v>tackles: 0,</v>
      </c>
      <c r="W122" t="str">
        <f>"tackles: "&amp;$P$6&amp;","</f>
        <v>tackles: 0,</v>
      </c>
    </row>
    <row r="123" spans="1:23" x14ac:dyDescent="0.3">
      <c r="A123" t="str">
        <f>"interceptions: "&amp;$Q$4&amp;","</f>
        <v>interceptions: 0,</v>
      </c>
      <c r="B123" t="str">
        <f>"interceptions: "&amp;$Q$15&amp;","</f>
        <v>interceptions: 3,</v>
      </c>
      <c r="C123" t="str">
        <f>"interceptions: "&amp;$Q$9&amp;","</f>
        <v>interceptions: 4,</v>
      </c>
      <c r="D123" t="str">
        <f>"interceptions: "&amp;$Q$24&amp;","</f>
        <v>interceptions: 1,</v>
      </c>
      <c r="E123" t="str">
        <f>"interceptions: "&amp;$Q$12&amp;","</f>
        <v>interceptions: 0,</v>
      </c>
      <c r="F123" t="str">
        <f>"interceptions: "&amp;$Q$22&amp;","</f>
        <v>interceptions: 3,</v>
      </c>
      <c r="G123" t="str">
        <f>"interceptions: "&amp;$Q$3&amp;","</f>
        <v>interceptions: 0,</v>
      </c>
      <c r="H123" t="str">
        <f>"interceptions: "&amp;$Q$7&amp;","</f>
        <v>interceptions: 2,</v>
      </c>
      <c r="I123" t="str">
        <f>"interceptions: "&amp;$Q$8&amp;","</f>
        <v>interceptions: 0,</v>
      </c>
      <c r="J123" t="str">
        <f>"interceptions: "&amp;$Q$23&amp;","</f>
        <v>interceptions: 0,</v>
      </c>
      <c r="K123" t="str">
        <f>"interceptions: "&amp;$Q$20&amp;","</f>
        <v>interceptions: 0,</v>
      </c>
      <c r="L123" t="str">
        <f>"interceptions: "&amp;$Q$14&amp;","</f>
        <v>interceptions: 3,</v>
      </c>
      <c r="M123" t="str">
        <f>"interceptions: "&amp;$Q$21&amp;","</f>
        <v>interceptions: 0,</v>
      </c>
      <c r="N123" t="str">
        <f>"interceptions: "&amp;$Q$11&amp;","</f>
        <v>interceptions: 0,</v>
      </c>
      <c r="O123" t="str">
        <f>"interceptions: "&amp;$Q$13&amp;","</f>
        <v>interceptions: 0,</v>
      </c>
      <c r="P123" t="str">
        <f>"interceptions: "&amp;$Q$5&amp;","</f>
        <v>interceptions: 1,</v>
      </c>
      <c r="Q123" t="str">
        <f>"interceptions: "&amp;$Q$10&amp;","</f>
        <v>interceptions: 0,</v>
      </c>
      <c r="R123" t="str">
        <f>"interceptions: "&amp;$Q$2&amp;","</f>
        <v>interceptions: 0,</v>
      </c>
      <c r="S123" t="str">
        <f>"interceptions: "&amp;$Q$19&amp;","</f>
        <v>interceptions: 0,</v>
      </c>
      <c r="T123" t="str">
        <f>"interceptions: "&amp;$Q$17&amp;","</f>
        <v>interceptions: 1,</v>
      </c>
      <c r="U123" t="str">
        <f>"interceptions: "&amp;$Q$18&amp;","</f>
        <v>interceptions: 0,</v>
      </c>
      <c r="V123" t="str">
        <f>"interceptions: "&amp;$Q$16&amp;","</f>
        <v>interceptions: 0,</v>
      </c>
      <c r="W123" t="str">
        <f>"interceptions: "&amp;$Q$6&amp;","</f>
        <v>interceptions: 0,</v>
      </c>
    </row>
    <row r="124" spans="1:23" x14ac:dyDescent="0.3">
      <c r="A124" t="str">
        <f>"fhRegains: "&amp;$R$4&amp;","</f>
        <v>fhRegains: 2,</v>
      </c>
      <c r="B124" t="str">
        <f>"fhRegains: "&amp;$R$15&amp;","</f>
        <v>fhRegains: 2,</v>
      </c>
      <c r="C124" t="str">
        <f>"fhRegains: "&amp;$R$9&amp;","</f>
        <v>fhRegains: 3,</v>
      </c>
      <c r="D124" t="str">
        <f>"fhRegains: "&amp;$R$24&amp;","</f>
        <v>fhRegains: 0,</v>
      </c>
      <c r="E124" t="str">
        <f>"fhRegains: "&amp;$R$12&amp;","</f>
        <v>fhRegains: 0,</v>
      </c>
      <c r="F124" t="str">
        <f>"fhRegains: "&amp;$R$22&amp;","</f>
        <v>fhRegains: 5,</v>
      </c>
      <c r="G124" t="str">
        <f>"fhRegains: "&amp;$R$3&amp;","</f>
        <v>fhRegains: 0,</v>
      </c>
      <c r="H124" t="str">
        <f>"fhRegains: "&amp;$R$7&amp;","</f>
        <v>fhRegains: 1,</v>
      </c>
      <c r="I124" t="str">
        <f>"fhRegains: "&amp;$R$8&amp;","</f>
        <v>fhRegains: 0,</v>
      </c>
      <c r="J124" t="str">
        <f>"fhRegains: "&amp;$R$23&amp;","</f>
        <v>fhRegains: 0,</v>
      </c>
      <c r="K124" t="str">
        <f>"fhRegains: "&amp;$R$20&amp;","</f>
        <v>fhRegains: 0,</v>
      </c>
      <c r="L124" t="str">
        <f>"fhRegains: "&amp;$R$14&amp;","</f>
        <v>fhRegains: 1,</v>
      </c>
      <c r="M124" t="str">
        <f>"fhRegains: "&amp;$R$21&amp;","</f>
        <v>fhRegains: 3,</v>
      </c>
      <c r="N124" t="str">
        <f>"fhRegains: "&amp;$R$11&amp;","</f>
        <v>fhRegains: 0,</v>
      </c>
      <c r="O124" t="str">
        <f>"fhRegains: "&amp;$R$13&amp;","</f>
        <v>fhRegains: 0,</v>
      </c>
      <c r="P124" t="str">
        <f>"fhRegains: "&amp;$R$5&amp;","</f>
        <v>fhRegains: 0,</v>
      </c>
      <c r="Q124" t="str">
        <f>"fhRegains: "&amp;$R$10&amp;","</f>
        <v>fhRegains: 0,</v>
      </c>
      <c r="R124" t="str">
        <f>"fhRegains: "&amp;$R$2&amp;","</f>
        <v>fhRegains: 0,</v>
      </c>
      <c r="S124" t="str">
        <f>"fhRegains: "&amp;$R$19&amp;","</f>
        <v>fhRegains: 0,</v>
      </c>
      <c r="T124" t="str">
        <f>"fhRegains: "&amp;$R$17&amp;","</f>
        <v>fhRegains: 1,</v>
      </c>
      <c r="U124" t="str">
        <f>"fhRegains: "&amp;$R$18&amp;","</f>
        <v>fhRegains: 0,</v>
      </c>
      <c r="V124" t="str">
        <f>"fhRegains: "&amp;$R$16&amp;","</f>
        <v>fhRegains: 0,</v>
      </c>
      <c r="W124" t="str">
        <f>"fhRegains: "&amp;$R$6&amp;","</f>
        <v>fhRegains: 0,</v>
      </c>
    </row>
    <row r="125" spans="1:23" x14ac:dyDescent="0.3">
      <c r="A125" t="str">
        <f>"blocks: "&amp;$S$4&amp;","</f>
        <v>blocks: 0,</v>
      </c>
      <c r="B125" t="str">
        <f>"blocks: "&amp;$S$15&amp;","</f>
        <v>blocks: 2,</v>
      </c>
      <c r="C125" t="str">
        <f>"blocks: "&amp;$S$9&amp;","</f>
        <v>blocks: 0,</v>
      </c>
      <c r="D125" t="str">
        <f>"blocks: "&amp;$S$24&amp;","</f>
        <v>blocks: 0,</v>
      </c>
      <c r="E125" t="str">
        <f>"blocks: "&amp;$S$12&amp;","</f>
        <v>blocks: 0,</v>
      </c>
      <c r="F125" t="str">
        <f>"blocks: "&amp;$S$22&amp;","</f>
        <v>blocks: 0,</v>
      </c>
      <c r="G125" t="str">
        <f>"blocks: "&amp;$S$3&amp;","</f>
        <v>blocks: 0,</v>
      </c>
      <c r="H125" t="str">
        <f>"blocks: "&amp;$S$7&amp;","</f>
        <v>blocks: 2,</v>
      </c>
      <c r="I125" t="str">
        <f>"blocks: "&amp;$S$8&amp;","</f>
        <v>blocks: 0,</v>
      </c>
      <c r="J125" t="str">
        <f>"blocks: "&amp;$S$23&amp;","</f>
        <v>blocks: 0,</v>
      </c>
      <c r="K125" t="str">
        <f>"blocks: "&amp;$S$20&amp;","</f>
        <v>blocks: 0,</v>
      </c>
      <c r="L125" t="str">
        <f>"blocks: "&amp;$S$14&amp;","</f>
        <v>blocks: 2,</v>
      </c>
      <c r="M125" t="str">
        <f>"blocks: "&amp;$S$21&amp;","</f>
        <v>blocks: 0,</v>
      </c>
      <c r="N125" t="str">
        <f>"blocks: "&amp;$S$11&amp;","</f>
        <v>blocks: 0,</v>
      </c>
      <c r="O125" t="str">
        <f>"blocks: "&amp;$S$13&amp;","</f>
        <v>blocks: 0,</v>
      </c>
      <c r="P125" t="str">
        <f>"blocks: "&amp;$S$5&amp;","</f>
        <v>blocks: 0,</v>
      </c>
      <c r="Q125" t="str">
        <f>"blocks: "&amp;$S$10&amp;","</f>
        <v>blocks: 0,</v>
      </c>
      <c r="R125" t="str">
        <f>"blocks: "&amp;$S$2&amp;","</f>
        <v>blocks: 0,</v>
      </c>
      <c r="S125" t="str">
        <f>"blocks: "&amp;$S$19&amp;","</f>
        <v>blocks: 0,</v>
      </c>
      <c r="T125" t="str">
        <f>"blocks: "&amp;$S$17&amp;","</f>
        <v>blocks: 1,</v>
      </c>
      <c r="U125" t="str">
        <f>"blocks: "&amp;$S$18&amp;","</f>
        <v>blocks: 0,</v>
      </c>
      <c r="V125" t="str">
        <f>"blocks: "&amp;$S$16&amp;","</f>
        <v>blocks: 0,</v>
      </c>
      <c r="W125" t="str">
        <f>"blocks: "&amp;$S$6&amp;","</f>
        <v>blocks: 0,</v>
      </c>
    </row>
    <row r="126" spans="1:23" x14ac:dyDescent="0.3">
      <c r="A126" t="str">
        <f>"clearances: "&amp;$T$4&amp;","</f>
        <v>clearances: 0,</v>
      </c>
      <c r="B126" t="str">
        <f>"clearances: "&amp;$T$15&amp;","</f>
        <v>clearances: 3,</v>
      </c>
      <c r="C126" t="str">
        <f>"clearances: "&amp;$T$9&amp;","</f>
        <v>clearances: 1,</v>
      </c>
      <c r="D126" t="str">
        <f>"clearances: "&amp;$T$24&amp;","</f>
        <v>clearances: 0,</v>
      </c>
      <c r="E126" t="str">
        <f>"clearances: "&amp;$T$12&amp;","</f>
        <v>clearances: 0,</v>
      </c>
      <c r="F126" t="str">
        <f>"clearances: "&amp;$T$22&amp;","</f>
        <v>clearances: 4,</v>
      </c>
      <c r="G126" t="str">
        <f>"clearances: "&amp;$T$3&amp;","</f>
        <v>clearances: 0,</v>
      </c>
      <c r="H126" t="str">
        <f>"clearances: "&amp;$T$7&amp;","</f>
        <v>clearances: 0,</v>
      </c>
      <c r="I126" t="str">
        <f>"clearances: "&amp;$T$8&amp;","</f>
        <v>clearances: 0,</v>
      </c>
      <c r="J126" t="str">
        <f>"clearances: "&amp;$T$23&amp;","</f>
        <v>clearances: 0,</v>
      </c>
      <c r="K126" t="str">
        <f>"clearances: "&amp;$T$20&amp;","</f>
        <v>clearances: 0,</v>
      </c>
      <c r="L126" t="str">
        <f>"clearances: "&amp;$T$14&amp;","</f>
        <v>clearances: 2,</v>
      </c>
      <c r="M126" t="str">
        <f>"clearances: "&amp;$T$21&amp;","</f>
        <v>clearances: 1,</v>
      </c>
      <c r="N126" t="str">
        <f>"clearances: "&amp;$T$11&amp;","</f>
        <v>clearances: 1,</v>
      </c>
      <c r="O126" t="str">
        <f>"clearances: "&amp;$T$13&amp;","</f>
        <v>clearances: 0,</v>
      </c>
      <c r="P126" t="str">
        <f>"clearances: "&amp;$T$5&amp;","</f>
        <v>clearances: 0,</v>
      </c>
      <c r="Q126" t="str">
        <f>"clearances: "&amp;$T$10&amp;","</f>
        <v>clearances: 1,</v>
      </c>
      <c r="R126" t="str">
        <f>"clearances: "&amp;$T$2&amp;","</f>
        <v>clearances: 0,</v>
      </c>
      <c r="S126" t="str">
        <f>"clearances: "&amp;$T$19&amp;","</f>
        <v>clearances: 0,</v>
      </c>
      <c r="T126" t="str">
        <f>"clearances: "&amp;$T$17&amp;","</f>
        <v>clearances: 0,</v>
      </c>
      <c r="U126" t="str">
        <f>"clearances: "&amp;$T$18&amp;","</f>
        <v>clearances: 0,</v>
      </c>
      <c r="V126" t="str">
        <f>"clearances: "&amp;$T$16&amp;","</f>
        <v>clearances: 0,</v>
      </c>
      <c r="W126" t="str">
        <f>"clearances: "&amp;$T$6&amp;","</f>
        <v>clearances: 0,</v>
      </c>
    </row>
    <row r="127" spans="1:23" x14ac:dyDescent="0.3">
      <c r="A127" t="str">
        <f>"separations: "&amp;$U$4&amp;","</f>
        <v>separations: 0,</v>
      </c>
      <c r="B127" t="str">
        <f>"separations: "&amp;$U$15&amp;","</f>
        <v>separations: 1,</v>
      </c>
      <c r="C127" t="str">
        <f>"separations: "&amp;$U$9&amp;","</f>
        <v>separations: 1,</v>
      </c>
      <c r="D127" t="str">
        <f>"separations: "&amp;$U$24&amp;","</f>
        <v>separations: 1,</v>
      </c>
      <c r="E127" t="str">
        <f>"separations: "&amp;$U$12&amp;","</f>
        <v>separations: 0,</v>
      </c>
      <c r="F127" t="str">
        <f>"separations: "&amp;$U$22&amp;","</f>
        <v>separations: 0,</v>
      </c>
      <c r="G127" t="str">
        <f>"separations: "&amp;$U$3&amp;","</f>
        <v>separations: 0,</v>
      </c>
      <c r="H127" t="str">
        <f>"separations: "&amp;$U$7&amp;","</f>
        <v>separations: 0,</v>
      </c>
      <c r="I127" t="str">
        <f>"separations: "&amp;$U$8&amp;","</f>
        <v>separations: 0,</v>
      </c>
      <c r="J127" t="str">
        <f>"separations: "&amp;$U$23&amp;","</f>
        <v>separations: 0,</v>
      </c>
      <c r="K127" t="str">
        <f>"separations: "&amp;$U$20&amp;","</f>
        <v>separations: 0,</v>
      </c>
      <c r="L127" t="str">
        <f>"separations: "&amp;$U$14&amp;","</f>
        <v>separations: 3,</v>
      </c>
      <c r="M127" t="str">
        <f>"separations: "&amp;$U$21&amp;","</f>
        <v>separations: 1,</v>
      </c>
      <c r="N127" t="str">
        <f>"separations: "&amp;$U$11&amp;","</f>
        <v>separations: 0,</v>
      </c>
      <c r="O127" t="str">
        <f>"separations: "&amp;$U$13&amp;","</f>
        <v>separations: 0,</v>
      </c>
      <c r="P127" t="str">
        <f>"separations: "&amp;$U$5&amp;","</f>
        <v>separations: 0,</v>
      </c>
      <c r="Q127" t="str">
        <f>"separations: "&amp;$U$10&amp;","</f>
        <v>separations: 2,</v>
      </c>
      <c r="R127" t="str">
        <f>"separations: "&amp;$U$2&amp;","</f>
        <v>separations: 0,</v>
      </c>
      <c r="S127" t="str">
        <f>"separations: "&amp;$U$19&amp;","</f>
        <v>separations: 0,</v>
      </c>
      <c r="T127" t="str">
        <f>"separations: "&amp;$U$17&amp;","</f>
        <v>separations: 0,</v>
      </c>
      <c r="U127" t="str">
        <f>"separations: "&amp;$U$18&amp;","</f>
        <v>separations: 0,</v>
      </c>
      <c r="V127" t="str">
        <f>"separations: "&amp;$U$16&amp;","</f>
        <v>separations: 0,</v>
      </c>
      <c r="W127" t="str">
        <f>"separations: "&amp;$U$6&amp;","</f>
        <v>separations: 0,</v>
      </c>
    </row>
    <row r="128" spans="1:23" x14ac:dyDescent="0.3">
      <c r="A128" t="str">
        <f>"headers: "&amp;$V$4&amp;","</f>
        <v>headers: 1,</v>
      </c>
      <c r="B128" t="str">
        <f>"headers: "&amp;$V$15&amp;","</f>
        <v>headers: 7,</v>
      </c>
      <c r="C128" t="str">
        <f>"headers: "&amp;$V$9&amp;","</f>
        <v>headers: 9,</v>
      </c>
      <c r="D128" t="str">
        <f>"headers: "&amp;$V$24&amp;","</f>
        <v>headers: 6,</v>
      </c>
      <c r="E128" t="str">
        <f>"headers: "&amp;$V$12&amp;","</f>
        <v>headers: 1,</v>
      </c>
      <c r="F128" t="str">
        <f>"headers: "&amp;$V$22&amp;","</f>
        <v>headers: 12,</v>
      </c>
      <c r="G128" t="str">
        <f>"headers: "&amp;$V$3&amp;","</f>
        <v>headers: 0,</v>
      </c>
      <c r="H128" t="str">
        <f>"headers: "&amp;$V$7&amp;","</f>
        <v>headers: 2,</v>
      </c>
      <c r="I128" t="str">
        <f>"headers: "&amp;$V$8&amp;","</f>
        <v>headers: 0,</v>
      </c>
      <c r="J128" t="str">
        <f>"headers: "&amp;$V$23&amp;","</f>
        <v>headers: 0,</v>
      </c>
      <c r="K128" t="str">
        <f>"headers: "&amp;$V$20&amp;","</f>
        <v>headers: 0,</v>
      </c>
      <c r="L128" t="str">
        <f>"headers: "&amp;$V$14&amp;","</f>
        <v>headers: 6,</v>
      </c>
      <c r="M128" t="str">
        <f>"headers: "&amp;$V$21&amp;","</f>
        <v>headers: 4,</v>
      </c>
      <c r="N128" t="str">
        <f>"headers: "&amp;$V$11&amp;","</f>
        <v>headers: 0,</v>
      </c>
      <c r="O128" t="str">
        <f>"headers: "&amp;$V$13&amp;","</f>
        <v>headers: 0,</v>
      </c>
      <c r="P128" t="str">
        <f>"headers: "&amp;$V$5&amp;","</f>
        <v>headers: 1,</v>
      </c>
      <c r="Q128" t="str">
        <f>"headers: "&amp;$V$10&amp;","</f>
        <v>headers: 1,</v>
      </c>
      <c r="R128" t="str">
        <f>"headers: "&amp;$V$2&amp;","</f>
        <v>headers: 0,</v>
      </c>
      <c r="S128" t="str">
        <f>"headers: "&amp;$V$19&amp;","</f>
        <v>headers: 0,</v>
      </c>
      <c r="T128" t="str">
        <f>"headers: "&amp;$V$17&amp;","</f>
        <v>headers: 1,</v>
      </c>
      <c r="U128" t="str">
        <f>"headers: "&amp;$V$18&amp;","</f>
        <v>headers: 0,</v>
      </c>
      <c r="V128" t="str">
        <f>"headers: "&amp;$V$16&amp;","</f>
        <v>headers: 0,</v>
      </c>
      <c r="W128" t="str">
        <f>"headers: "&amp;$V$6&amp;","</f>
        <v>headers: 0,</v>
      </c>
    </row>
    <row r="129" spans="1:23" x14ac:dyDescent="0.3">
      <c r="A129" t="str">
        <f>"stopFwdCA: "&amp;$W$4&amp;","</f>
        <v>stopFwdCA: 3,</v>
      </c>
      <c r="B129" t="str">
        <f>"stopFwdCA: "&amp;$W$15&amp;","</f>
        <v>stopFwdCA: 8,</v>
      </c>
      <c r="C129" t="str">
        <f>"stopFwdCA: "&amp;$W$9&amp;","</f>
        <v>stopFwdCA: 5,</v>
      </c>
      <c r="D129" t="str">
        <f>"stopFwdCA: "&amp;$W$24&amp;","</f>
        <v>stopFwdCA: 3,</v>
      </c>
      <c r="E129" t="str">
        <f>"stopFwdCA: "&amp;$W$12&amp;","</f>
        <v>stopFwdCA: 3,</v>
      </c>
      <c r="F129" t="str">
        <f>"stopFwdCA: "&amp;$W$22&amp;","</f>
        <v>stopFwdCA: 2,</v>
      </c>
      <c r="G129" t="str">
        <f>"stopFwdCA: "&amp;$W$3&amp;","</f>
        <v>stopFwdCA: 0,</v>
      </c>
      <c r="H129" t="str">
        <f>"stopFwdCA: "&amp;$W$7&amp;","</f>
        <v>stopFwdCA: 2,</v>
      </c>
      <c r="I129" t="str">
        <f>"stopFwdCA: "&amp;$W$8&amp;","</f>
        <v>stopFwdCA: 0,</v>
      </c>
      <c r="J129" t="str">
        <f>"stopFwdCA: "&amp;$W$23&amp;","</f>
        <v>stopFwdCA: 0,</v>
      </c>
      <c r="K129" t="str">
        <f>"stopFwdCA: "&amp;$W$20&amp;","</f>
        <v>stopFwdCA: 0,</v>
      </c>
      <c r="L129" t="str">
        <f>"stopFwdCA: "&amp;$W$14&amp;","</f>
        <v>stopFwdCA: 4,</v>
      </c>
      <c r="M129" t="str">
        <f>"stopFwdCA: "&amp;$W$21&amp;","</f>
        <v>stopFwdCA: 5,</v>
      </c>
      <c r="N129" t="str">
        <f>"stopFwdCA: "&amp;$W$11&amp;","</f>
        <v>stopFwdCA: 2,</v>
      </c>
      <c r="O129" t="str">
        <f>"stopFwdCA: "&amp;$W$13&amp;","</f>
        <v>stopFwdCA: 0,</v>
      </c>
      <c r="P129" t="str">
        <f>"stopFwdCA: "&amp;$W$5&amp;","</f>
        <v>stopFwdCA: 3,</v>
      </c>
      <c r="Q129" t="str">
        <f>"stopFwdCA: "&amp;$W$10&amp;","</f>
        <v>stopFwdCA: 2,</v>
      </c>
      <c r="R129" t="str">
        <f>"stopFwdCA: "&amp;$W$2&amp;","</f>
        <v>stopFwdCA: 0,</v>
      </c>
      <c r="S129" t="str">
        <f>"stopFwdCA: "&amp;$W$19&amp;","</f>
        <v>stopFwdCA: 3,</v>
      </c>
      <c r="T129" t="str">
        <f>"stopFwdCA: "&amp;$W$17&amp;","</f>
        <v>stopFwdCA: 3,</v>
      </c>
      <c r="U129" t="str">
        <f>"stopFwdCA: "&amp;$W$18&amp;","</f>
        <v>stopFwdCA: 0,</v>
      </c>
      <c r="V129" t="str">
        <f>"stopFwdCA: "&amp;$W$16&amp;","</f>
        <v>stopFwdCA: 1,</v>
      </c>
      <c r="W129" t="str">
        <f>"stopFwdCA: "&amp;$W$6&amp;","</f>
        <v>stopFwdCA: 0,</v>
      </c>
    </row>
    <row r="130" spans="1:23" x14ac:dyDescent="0.3">
      <c r="A130" t="str">
        <f>"totalDefActMin: "&amp;TEXT($Y$4,"0.00")&amp;","</f>
        <v>totalDefActMin: 0.09,</v>
      </c>
      <c r="B130" t="str">
        <f>"totalDefActMin: "&amp;TEXT($Y$15,"0.00")&amp;","</f>
        <v>totalDefActMin: 0.29,</v>
      </c>
      <c r="C130" t="str">
        <f>"totalDefActMin: "&amp;TEXT($Y$9,"0.00")&amp;","</f>
        <v>totalDefActMin: 0.27,</v>
      </c>
      <c r="D130" t="str">
        <f>"totalDefActMin: "&amp;TEXT($Y$24,"0.00")&amp;","</f>
        <v>totalDefActMin: 0.32,</v>
      </c>
      <c r="E130" t="str">
        <f>"totalDefActMin: "&amp;TEXT($Y$12,"0.00")&amp;","</f>
        <v>totalDefActMin: 0.09,</v>
      </c>
      <c r="F130" t="str">
        <f>"totalDefActMin: "&amp;TEXT($Y$22,"0.00")&amp;","</f>
        <v>totalDefActMin: 0.34,</v>
      </c>
      <c r="G130" t="str">
        <f>"totalDefActMin: "&amp;TEXT($Y$3,"0.00")&amp;","</f>
        <v>totalDefActMin: 0.00,</v>
      </c>
      <c r="H130" t="str">
        <f>"totalDefActMin: "&amp;TEXT($Y$7,"0.00")&amp;","</f>
        <v>totalDefActMin: 0.37,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0.35,</v>
      </c>
      <c r="M130" t="str">
        <f>"totalDefActMin: "&amp;TEXT($Y$21,"0.00")&amp;","</f>
        <v>totalDefActMin: 0.35,</v>
      </c>
      <c r="N130" t="str">
        <f>"totalDefActMin: "&amp;TEXT($Y$11,"0.00")&amp;","</f>
        <v>totalDefActMin: 0.20,</v>
      </c>
      <c r="O130" t="str">
        <f>"totalDefActMin: "&amp;TEXT($Y$13,"0.00")&amp;","</f>
        <v>totalDefActMin: 0.00,</v>
      </c>
      <c r="P130" t="str">
        <f>"totalDefActMin: "&amp;TEXT($Y$5,"0.00")&amp;","</f>
        <v>totalDefActMin: 0.08,</v>
      </c>
      <c r="Q130" t="str">
        <f>"totalDefActMin: "&amp;TEXT($Y$10,"0.00")&amp;","</f>
        <v>totalDefActMin: 0.19,</v>
      </c>
      <c r="R130" t="str">
        <f>"totalDefActMin: "&amp;TEXT($Y$2,"0.00")&amp;","</f>
        <v>totalDefActMin: 0.00,</v>
      </c>
      <c r="S130" t="str">
        <f>"totalDefActMin: "&amp;TEXT($Y$19,"0.00")&amp;","</f>
        <v>totalDefActMin: 0.07,</v>
      </c>
      <c r="T130" t="str">
        <f>"totalDefActMin: "&amp;TEXT($Y$17,"0.00")&amp;","</f>
        <v>totalDefActMin: 0.15,</v>
      </c>
      <c r="U130" t="str">
        <f>"totalDefActMin: "&amp;TEXT($Y$18,"0.00")&amp;","</f>
        <v>totalDefActMin: 0.00,</v>
      </c>
      <c r="V130" t="str">
        <f>"totalDefActMin: "&amp;TEXT($Y$16,"0.00")&amp;","</f>
        <v>totalDefActMin: 0.04,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18,</v>
      </c>
      <c r="B131" t="str">
        <f t="shared" ref="B131" si="4">"totalActions: "&amp;$Z$4&amp;","</f>
        <v>totalActions: 18,</v>
      </c>
      <c r="C131" t="str">
        <f>"totalActions: "&amp;$Z$9&amp;","</f>
        <v>totalActions: 33,</v>
      </c>
      <c r="D131" t="str">
        <f>"totalActions: "&amp;$Z$24&amp;","</f>
        <v>totalActions: 19,</v>
      </c>
      <c r="E131" t="str">
        <f>"totalActions: "&amp;$Z$12&amp;","</f>
        <v>totalActions: 14,</v>
      </c>
      <c r="F131" t="str">
        <f>"totalActions: "&amp;$Z$22&amp;","</f>
        <v>totalActions: 39,</v>
      </c>
      <c r="G131" t="str">
        <f>"totalActions: "&amp;$Z$3&amp;","</f>
        <v>totalActions: 0,</v>
      </c>
      <c r="H131" t="str">
        <f>"totalActions: "&amp;$Z$7&amp;","</f>
        <v>totalActions: 12,</v>
      </c>
      <c r="I131" t="str">
        <f>"totalActions: "&amp;$Z$8&amp;","</f>
        <v>totalActions: 0,</v>
      </c>
      <c r="J131" t="str">
        <f>"totalActions: "&amp;$Z$23&amp;","</f>
        <v>totalActions: 0,</v>
      </c>
      <c r="K131" t="str">
        <f>"totalActions: "&amp;$Z$20&amp;","</f>
        <v>totalActions: 0,</v>
      </c>
      <c r="L131" t="str">
        <f>"totalActions: "&amp;$Z$14&amp;","</f>
        <v>totalActions: 25,</v>
      </c>
      <c r="M131" t="str">
        <f>"totalActions: "&amp;$Z$21&amp;","</f>
        <v>totalActions: 30,</v>
      </c>
      <c r="N131" t="str">
        <f>"totalActions: "&amp;$Z$11&amp;","</f>
        <v>totalActions: 4,</v>
      </c>
      <c r="O131" t="str">
        <f>"totalActions: "&amp;$Z$13&amp;","</f>
        <v>totalActions: 0,</v>
      </c>
      <c r="P131" t="str">
        <f>"totalActions: "&amp;$Z$5&amp;","</f>
        <v>totalActions: 7,</v>
      </c>
      <c r="Q131" t="str">
        <f>"totalActions: "&amp;$Z$10&amp;","</f>
        <v>totalActions: 10,</v>
      </c>
      <c r="R131" t="str">
        <f>"totalActions: "&amp;$Z$2&amp;","</f>
        <v>totalActions: 0,</v>
      </c>
      <c r="S131" t="str">
        <f>"totalActions: "&amp;$Z$19&amp;","</f>
        <v>totalActions: 5,</v>
      </c>
      <c r="T131" t="str">
        <f>"totalActions: "&amp;$Z$17&amp;","</f>
        <v>totalActions: 21,</v>
      </c>
      <c r="U131" t="str">
        <f>"totalActions: "&amp;$Z$18&amp;","</f>
        <v>totalActions: 0,</v>
      </c>
      <c r="V131" t="str">
        <f>"totalActions: "&amp;$Z$16&amp;","</f>
        <v>totalActions: 2,</v>
      </c>
      <c r="W131" t="str">
        <f>"totalActions: "&amp;$Z$6&amp;","</f>
        <v>totalActions: 0,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class="stat-value-2"&gt;12&lt;/span&gt;&lt;/p&gt;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class="stat-value-2"&gt;8&lt;/span&gt;&lt;/p&gt;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class="stat-value-2"&gt;9&lt;/span&gt;&lt;/p&gt;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class="stat-value-2"&gt;3&lt;/span&gt;&lt;/p&gt;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class="stat-value-2"&gt;6&lt;/span&gt;&lt;/p&gt;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class="stat-value-2"&gt;8&lt;/span&gt;&lt;/p&gt;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class="stat-value-2"&gt;0&lt;/span&gt;&lt;/p&gt;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class="stat-value-2"&gt;1&lt;/span&gt;&lt;/p&gt;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class="stat-value-2"&gt;0&lt;/span&gt;&lt;/p&gt;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class="stat-value-2"&gt;0&lt;/span&gt;&lt;/p&gt;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class="stat-value-2"&gt;0&lt;/span&gt;&lt;/p&gt;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class="stat-value-2"&gt;4&lt;/span&gt;&lt;/p&gt;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class="stat-value-2"&gt;11&lt;/span&gt;&lt;/p&gt;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class="stat-value-2"&gt;1&lt;/span&gt;&lt;/p&gt;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class="stat-value-2"&gt;0&lt;/span&gt;&lt;/p&gt;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class="stat-value-2"&gt;2&lt;/span&gt;&lt;/p&gt;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class="stat-value-2"&gt;4&lt;/span&gt;&lt;/p&gt;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class="stat-value-2"&gt;0&lt;/span&gt;&lt;/p&gt;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class="stat-value-2"&gt;1&lt;/span&gt;&lt;/p&gt;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class="stat-value-2"&gt;9&lt;/span&gt;&lt;/p&gt;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class="stat-value-2"&gt;0&lt;/span&gt;&lt;/p&gt;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class="stat-value-2"&gt;1&lt;/span&gt;&lt;/p&gt;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class="stat-value-2"&gt;0&lt;/span&gt;&lt;/p&gt;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class="stat-value-2"&gt;0.17&lt;/span&gt;&lt;/p&gt;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class="stat-value-2"&gt;0.09&lt;/span&gt;&lt;/p&gt;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class="stat-value-2"&gt;0.10&lt;/span&gt;&lt;/p&gt;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class="stat-value-2"&gt;0.06&lt;/span&gt;&lt;/p&gt;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class="stat-value-2"&gt;0.07&lt;/span&gt;&lt;/p&gt;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class="stat-value-2"&gt;0.09&lt;/span&gt;&lt;/p&gt;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class="stat-value-2"&gt;0.03&lt;/span&gt;&lt;/p&gt;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class="stat-value-2"&gt;0.07&lt;/span&gt;&lt;/p&gt;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class="stat-value-2"&gt;0.20&lt;/span&gt;&lt;/p&gt;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class="stat-value-2"&gt;0.07&lt;/span&gt;&lt;/p&gt;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class="stat-value-2"&gt;0.03&lt;/span&gt;&lt;/p&gt;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class="stat-value-2"&gt;0.13&lt;/span&gt;&lt;/p&gt;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class="stat-value-2"&gt;0.02&lt;/span&gt;&lt;/p&gt;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class="stat-value-2"&gt;0.11&lt;/span&gt;&lt;/p&gt;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class="stat-value-2"&gt;0.04&lt;/span&gt;&lt;/p&gt;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class="stat-value-2"&gt;0&lt;/span&gt;&lt;/p&gt;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class="stat-value-2"&gt;0&lt;/span&gt;&lt;/p&gt;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class="stat-value-2"&gt;0&lt;/span&gt;&lt;/p&gt;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class="stat-value-2"&gt;0&lt;/span&gt;&lt;/p&gt;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class="stat-value-2"&gt;0&lt;/span&gt;&lt;/p&gt;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class="stat-value-2"&gt;1&lt;/span&gt;&lt;/p&gt;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class="stat-value-2"&gt;0&lt;/span&gt;&lt;/p&gt;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class="stat-value-2"&gt;0&lt;/span&gt;&lt;/p&gt;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class="stat-value-2"&gt;0&lt;/span&gt;&lt;/p&gt;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class="stat-value-2"&gt;0&lt;/span&gt;&lt;/p&gt;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class="stat-value-2"&gt;0&lt;/span&gt;&lt;/p&gt;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class="stat-value-2"&gt;0&lt;/span&gt;&lt;/p&gt;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class="stat-value-2"&gt;0&lt;/span&gt;&lt;/p&gt;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class="stat-value-2"&gt;0&lt;/span&gt;&lt;/p&gt;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class="stat-value-2"&gt;0&lt;/span&gt;&lt;/p&gt;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class="stat-value-2"&gt;0&lt;/span&gt;&lt;/p&gt;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class="stat-value-2"&gt;0&lt;/span&gt;&lt;/p&gt;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class="stat-value-2"&gt;0&lt;/span&gt;&lt;/p&gt;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class="stat-value-2"&gt;0&lt;/span&gt;&lt;/p&gt;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class="stat-value-2"&gt;0&lt;/span&gt;&lt;/p&gt;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class="stat-value-2"&gt;0&lt;/span&gt;&lt;/p&gt;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class="stat-value-2"&gt;0&lt;/span&gt;&lt;/p&gt;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class="stat-value-2"&gt;0&lt;/span&gt;&lt;/p&gt;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class="stat-value-2"&gt;0&lt;/span&gt;&lt;/p&gt;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class="stat-value-2"&gt;1&lt;/span&gt;&lt;/p&gt;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class="stat-value-2"&gt;0&lt;/span&gt;&lt;/p&gt;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class="stat-value-2"&gt;0&lt;/span&gt;&lt;/p&gt;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class="stat-value-2"&gt;0&lt;/span&gt;&lt;/p&gt;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class="stat-value-2"&gt;0&lt;/span&gt;&lt;/p&gt;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class="stat-value-2"&gt;0&lt;/span&gt;&lt;/p&gt;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class="stat-value-2"&gt;0&lt;/span&gt;&lt;/p&gt;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class="stat-value-2"&gt;0&lt;/span&gt;&lt;/p&gt;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class="stat-value-2"&gt;0&lt;/span&gt;&lt;/p&gt;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class="stat-value-2"&gt;0&lt;/span&gt;&lt;/p&gt;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class="stat-value-2"&gt;0&lt;/span&gt;&lt;/p&gt;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class="stat-value-2"&gt;0&lt;/span&gt;&lt;/p&gt;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class="stat-value-2"&gt;0&lt;/span&gt;&lt;/p&gt;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class="stat-value-2"&gt;0&lt;/span&gt;&lt;/p&gt;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class="stat-value-2"&gt;0&lt;/span&gt;&lt;/p&gt;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class="stat-value-2"&gt;0&lt;/span&gt;&lt;/p&gt;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class="stat-value-2"&gt;0&lt;/span&gt;&lt;/p&gt;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class="stat-value-2"&gt;0&lt;/span&gt;&lt;/p&gt;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class="stat-value-2"&gt;0&lt;/span&gt;&lt;/p&gt;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class="stat-value-2"&gt;0&lt;/span&gt;&lt;/p&gt;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class="stat-value-2"&gt;0&lt;/span&gt;&lt;/p&gt;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class="stat-value-2"&gt;0&lt;/span&gt;&lt;/p&gt;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class="stat-value-2"&gt;0&lt;/span&gt;&lt;/p&gt;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class="stat-value-2"&gt;1&lt;/span&gt;&lt;/p&gt;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class="stat-value-2"&gt;0&lt;/span&gt;&lt;/p&gt;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class="stat-value-2"&gt;0&lt;/span&gt;&lt;/p&gt;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class="stat-value-2"&gt;0&lt;/span&gt;&lt;/p&gt;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class="stat-value-2"&gt;0&lt;/span&gt;&lt;/p&gt;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class="stat-value-2"&gt;0&lt;/span&gt;&lt;/p&gt;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class="stat-value-2"&gt;0&lt;/span&gt;&lt;/p&gt;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class="stat-value-2"&gt;0&lt;/span&gt;&lt;/p&gt;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class="stat-value-2"&gt;0&lt;/span&gt;&lt;/p&gt;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class="stat-value-2"&gt;0&lt;/span&gt;&lt;/p&gt;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class="stat-value-2"&gt;0&lt;/span&gt;&lt;/p&gt;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class="stat-value-2"&gt;0&lt;/span&gt;&lt;/p&gt;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class="stat-value-2"&gt;0&lt;/span&gt;&lt;/p&gt;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class="stat-value-2"&gt;0&lt;/span&gt;&lt;/p&gt;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class="stat-value-2"&gt;0&lt;/span&gt;&lt;/p&gt;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class="stat-value-2"&gt;0&lt;/span&gt;&lt;/p&gt;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class="stat-value-2"&gt;0&lt;/span&gt;&lt;/p&gt;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class="stat-value-2"&gt;0&lt;/span&gt;&lt;/p&gt;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class="stat-value-2"&gt;0&lt;/span&gt;&lt;/p&gt;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class="stat-value-2"&gt;0&lt;/span&gt;&lt;/p&gt;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class="stat-value-2"&gt;0&lt;/span&gt;&lt;/p&gt;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class="stat-value-2"&gt;0&lt;/span&gt;&lt;/p&gt;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class="stat-value-2"&gt;0&lt;/span&gt;&lt;/p&gt;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class="stat-value-2"&gt;3&lt;/span&gt;&lt;/p&gt;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class="stat-value-2"&gt;3&lt;/span&gt;&lt;/p&gt;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class="stat-value-2"&gt;1&lt;/span&gt;&lt;/p&gt;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class="stat-value-2"&gt;1&lt;/span&gt;&lt;/p&gt;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class="stat-value-2"&gt;1&lt;/span&gt;&lt;/p&gt;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class="stat-value-2"&gt;0&lt;/span&gt;&lt;/p&gt;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class="stat-value-2"&gt;1&lt;/span&gt;&lt;/p&gt;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class="stat-value-2"&gt;0&lt;/span&gt;&lt;/p&gt;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class="stat-value-2"&gt;0&lt;/span&gt;&lt;/p&gt;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class="stat-value-2"&gt;0&lt;/span&gt;&lt;/p&gt;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class="stat-value-2"&gt;1&lt;/span&gt;&lt;/p&gt;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class="stat-value-2"&gt;4&lt;/span&gt;&lt;/p&gt;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class="stat-value-2"&gt;0&lt;/span&gt;&lt;/p&gt;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class="stat-value-2"&gt;0&lt;/span&gt;&lt;/p&gt;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class="stat-value-2"&gt;1&lt;/span&gt;&lt;/p&gt;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class="stat-value-2"&gt;2&lt;/span&gt;&lt;/p&gt;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class="stat-value-2"&gt;0&lt;/span&gt;&lt;/p&gt;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class="stat-value-2"&gt;0&lt;/span&gt;&lt;/p&gt;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class="stat-value-2"&gt;2&lt;/span&gt;&lt;/p&gt;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class="stat-value-2"&gt;0&lt;/span&gt;&lt;/p&gt;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class="stat-value-2"&gt;0&lt;/span&gt;&lt;/p&gt;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class="stat-value-2"&gt;0&lt;/span&gt;&lt;/p&gt;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class="stat-value-2"&gt;1&lt;/span&gt;&lt;/p&gt;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class="stat-value-2"&gt;0&lt;/span&gt;&lt;/p&gt;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class="stat-value-2"&gt;0&lt;/span&gt;&lt;/p&gt;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class="stat-value-2"&gt;0&lt;/span&gt;&lt;/p&gt;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class="stat-value-2"&gt;0&lt;/span&gt;&lt;/p&gt;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class="stat-value-2"&gt;0&lt;/span&gt;&lt;/p&gt;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class="stat-value-2"&gt;0&lt;/span&gt;&lt;/p&gt;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class="stat-value-2"&gt;0&lt;/span&gt;&lt;/p&gt;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class="stat-value-2"&gt;0&lt;/span&gt;&lt;/p&gt;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class="stat-value-2"&gt;0&lt;/span&gt;&lt;/p&gt;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class="stat-value-2"&gt;0&lt;/span&gt;&lt;/p&gt;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class="stat-value-2"&gt;0&lt;/span&gt;&lt;/p&gt;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class="stat-value-2"&gt;1&lt;/span&gt;&lt;/p&gt;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class="stat-value-2"&gt;0&lt;/span&gt;&lt;/p&gt;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class="stat-value-2"&gt;0&lt;/span&gt;&lt;/p&gt;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class="stat-value-2"&gt;1&lt;/span&gt;&lt;/p&gt;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class="stat-value-2"&gt;0&lt;/span&gt;&lt;/p&gt;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class="stat-value-2"&gt;0&lt;/span&gt;&lt;/p&gt;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class="stat-value-2"&gt;0&lt;/span&gt;&lt;/p&gt;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class="stat-value-2"&gt;0&lt;/span&gt;&lt;/p&gt;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class="stat-value-2"&gt;0&lt;/span&gt;&lt;/p&gt;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class="stat-value-2"&gt;0&lt;/span&gt;&lt;/p&gt;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class="stat-value-2"&gt;0&lt;/span&gt;&lt;/p&gt;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class="stat-value-2"&gt;0&lt;/span&gt;&lt;/p&gt;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class="stat-value-2"&gt;0&lt;/span&gt;&lt;/p&gt;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class="stat-value-2"&gt;0&lt;/span&gt;&lt;/p&gt;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class="stat-value-2"&gt;1&lt;/span&gt;&lt;/p&gt;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class="stat-value-2"&gt;0&lt;/span&gt;&lt;/p&gt;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class="stat-value-2"&gt;0&lt;/span&gt;&lt;/p&gt;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class="stat-value-2"&gt;0&lt;/span&gt;&lt;/p&gt;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class="stat-value-2"&gt;0&lt;/span&gt;&lt;/p&gt;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class="stat-value-2"&gt;0&lt;/span&gt;&lt;/p&gt;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class="stat-value-2"&gt;0&lt;/span&gt;&lt;/p&gt;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class="stat-value-2"&gt;0&lt;/span&gt;&lt;/p&gt;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class="stat-value-2"&gt;2&lt;/span&gt;&lt;/p&gt;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class="stat-value-2"&gt;0&lt;/span&gt;&lt;/p&gt;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class="stat-value-2"&gt;0&lt;/span&gt;&lt;/p&gt;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class="stat-value-2"&gt;0&lt;/span&gt;&lt;/p&gt;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class="stat-value-2"&gt;0&lt;/span&gt;&lt;/p&gt;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class="stat-value-2"&gt;0&lt;/span&gt;&lt;/p&gt;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class="stat-value-2"&gt;0&lt;/span&gt;&lt;/p&gt;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class="stat-value-2"&gt;1&lt;/span&gt;&lt;/p&gt;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class="stat-value-2"&gt;1&lt;/span&gt;&lt;/p&gt;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class="stat-value-2"&gt;0&lt;/span&gt;&lt;/p&gt;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class="stat-value-2"&gt;0&lt;/span&gt;&lt;/p&gt;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class="stat-value-2"&gt;0&lt;/span&gt;&lt;/p&gt;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class="stat-value-2"&gt;0&lt;/span&gt;&lt;/p&gt;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class="stat-value-2"&gt;0&lt;/span&gt;&lt;/p&gt;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class="stat-value-2"&gt;2&lt;/span&gt;&lt;/p&gt;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class="stat-value-2"&gt;1&lt;/span&gt;&lt;/p&gt;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class="stat-value-2"&gt;4&lt;/span&gt;&lt;/p&gt;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class="stat-value-2"&gt;0&lt;/span&gt;&lt;/p&gt;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class="stat-value-2"&gt;0&lt;/span&gt;&lt;/p&gt;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class="stat-value-2"&gt;0&lt;/span&gt;&lt;/p&gt;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class="stat-value-2"&gt;0&lt;/span&gt;&lt;/p&gt;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class="stat-value-2"&gt;0&lt;/span&gt;&lt;/p&gt;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class="stat-value-2"&gt;0&lt;/span&gt;&lt;/p&gt;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class="stat-value-2"&gt;0&lt;/span&gt;&lt;/p&gt;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class="stat-value-2"&gt;1&lt;/span&gt;&lt;/p&gt;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class="stat-value-2"&gt;0&lt;/span&gt;&lt;/p&gt;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class="stat-value-2"&gt;0&lt;/span&gt;&lt;/p&gt;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class="stat-value-2"&gt;0&lt;/span&gt;&lt;/p&gt;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class="stat-value-2"&gt;0&lt;/span&gt;&lt;/p&gt;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class="stat-value-2"&gt;0&lt;/span&gt;&lt;/p&gt;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class="stat-value-2"&gt;0&lt;/span&gt;&lt;/p&gt;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class="stat-value-2"&gt;1&lt;/span&gt;&lt;/p&gt;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class="stat-value-2"&gt;0&lt;/span&gt;&lt;/p&gt;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class="stat-value-2"&gt;0&lt;/span&gt;&lt;/p&gt;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class="stat-value-2"&gt;0&lt;/span&gt;&lt;/p&gt;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class="stat-value-2"&gt;8&lt;/span&gt;&lt;/p&gt;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class="stat-value-2"&gt;0&lt;/span&gt;&lt;/p&gt;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class="stat-value-2"&gt;0&lt;/span&gt;&lt;/p&gt;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class="stat-value-2"&gt;0&lt;/span&gt;&lt;/p&gt;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class="stat-value-2"&gt;0&lt;/span&gt;&lt;/p&gt;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class="stat-value-2"&gt;2&lt;/span&gt;&lt;/p&gt;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class="stat-value-2"&gt;0&lt;/span&gt;&lt;/p&gt;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class="stat-value-2"&gt;0&lt;/span&gt;&lt;/p&gt;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class="stat-value-2"&gt;0&lt;/span&gt;&lt;/p&gt;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class="stat-value-2"&gt;0&lt;/span&gt;&lt;/p&gt;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class="stat-value-2"&gt;0&lt;/span&gt;&lt;/p&gt;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class="stat-value-2"&gt;0&lt;/span&gt;&lt;/p&gt;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class="stat-value-2"&gt;4&lt;/span&gt;&lt;/p&gt;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class="stat-value-2"&gt;1&lt;/span&gt;&lt;/p&gt;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class="stat-value-2"&gt;0&lt;/span&gt;&lt;/p&gt;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class="stat-value-2"&gt;1&lt;/span&gt;&lt;/p&gt;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class="stat-value-2"&gt;1&lt;/span&gt;&lt;/p&gt;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class="stat-value-2"&gt;0&lt;/span&gt;&lt;/p&gt;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class="stat-value-2"&gt;0&lt;/span&gt;&lt;/p&gt;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class="stat-value-2"&gt;1&lt;/span&gt;&lt;/p&gt;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class="stat-value-2"&gt;0&lt;/span&gt;&lt;/p&gt;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class="stat-value-2"&gt;0&lt;/span&gt;&lt;/p&gt;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class="stat-value-2"&gt;0&lt;/span&gt;&lt;/p&gt;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class="stat-value-2"&gt;3&lt;/span&gt;&lt;/p&gt;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class="stat-value-2"&gt;3&lt;/span&gt;&lt;/p&gt;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class="stat-value-2"&gt;4&lt;/span&gt;&lt;/p&gt;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class="stat-value-2"&gt;0&lt;/span&gt;&lt;/p&gt;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class="stat-value-2"&gt;1&lt;/span&gt;&lt;/p&gt;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class="stat-value-2"&gt;0&lt;/span&gt;&lt;/p&gt;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class="stat-value-2"&gt;0&lt;/span&gt;&lt;/p&gt;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class="stat-value-2"&gt;0&lt;/span&gt;&lt;/p&gt;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class="stat-value-2"&gt;0&lt;/span&gt;&lt;/p&gt;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class="stat-value-2"&gt;0&lt;/span&gt;&lt;/p&gt;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class="stat-value-2"&gt;0&lt;/span&gt;&lt;/p&gt;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class="stat-value-2"&gt;1&lt;/span&gt;&lt;/p&gt;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class="stat-value-2"&gt;1&lt;/span&gt;&lt;/p&gt;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class="stat-value-2"&gt;0&lt;/span&gt;&lt;/p&gt;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class="stat-value-2"&gt;0&lt;/span&gt;&lt;/p&gt;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class="stat-value-2"&gt;0&lt;/span&gt;&lt;/p&gt;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class="stat-value-2"&gt;0&lt;/span&gt;&lt;/p&gt;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class="stat-value-2"&gt;0&lt;/span&gt;&lt;/p&gt;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class="stat-value-2"&gt;0&lt;/span&gt;&lt;/p&gt;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class="stat-value-2"&gt;4&lt;/span&gt;&lt;/p&gt;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class="stat-value-2"&gt;0&lt;/span&gt;&lt;/p&gt;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class="stat-value-2"&gt;1&lt;/span&gt;&lt;/p&gt;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class="stat-value-2"&gt;0&lt;/span&gt;&lt;/p&gt;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class="stat-value-2"&gt;0&lt;/span&gt;&lt;/p&gt;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class="stat-value-2"&gt;0&lt;/span&gt;&lt;/p&gt;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class="stat-value-2"&gt;0&lt;/span&gt;&lt;/p&gt;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class="stat-value-2"&gt;0&lt;/span&gt;&lt;/p&gt;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class="stat-value-2"&gt;0&lt;/span&gt;&lt;/p&gt;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class="stat-value-2"&gt;1&lt;/span&gt;&lt;/p&gt;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class="stat-value-2"&gt;0&lt;/span&gt;&lt;/p&gt;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class="stat-value-2"&gt;0&lt;/span&gt;&lt;/p&gt;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class="stat-value-2"&gt;0&lt;/span&gt;&lt;/p&gt;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class="stat-value-2"&gt;0&lt;/span&gt;&lt;/p&gt;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class="stat-value-2"&gt;0&lt;/span&gt;&lt;/p&gt;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class="stat-value-2"&gt;0&lt;/span&gt;&lt;/p&gt;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class="stat-value-2"&gt;0&lt;/span&gt;&lt;/p&gt;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class="stat-value-2"&gt;0&lt;/span&gt;&lt;/p&gt;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class="stat-value-2"&gt;0&lt;/span&gt;&lt;/p&gt;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class="stat-value-2"&gt;0&lt;/span&gt;&lt;/p&gt;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class="stat-value-2"&gt;0&lt;/span&gt;&lt;/p&gt;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class="stat-value-2"&gt;0&lt;/span&gt;&lt;/p&gt;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class="stat-value-2"&gt;0&lt;/span&gt;&lt;/p&gt;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class="stat-value-2"&gt;0&lt;/span&gt;&lt;/p&gt;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class="stat-value-2"&gt;0&lt;/span&gt;&lt;/p&gt;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class="stat-value-2"&gt;0&lt;/span&gt;&lt;/p&gt;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class="stat-value-2"&gt;0&lt;/span&gt;&lt;/p&gt;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class="stat-value-2"&gt;1&lt;/span&gt;&lt;/p&gt;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class="stat-value-2"&gt;0&lt;/span&gt;&lt;/p&gt;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class="stat-value-2"&gt;0&lt;/span&gt;&lt;/p&gt;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class="stat-value-2"&gt;0&lt;/span&gt;&lt;/p&gt;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class="stat-value-2"&gt;0&lt;/span&gt;&lt;/p&gt;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class="stat-value-2"&gt;3&lt;/span&gt;&lt;/p&gt;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class="stat-value-2"&gt;0&lt;/span&gt;&lt;/p&gt;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class="stat-value-2"&gt;0&lt;/span&gt;&lt;/p&gt;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class="stat-value-2"&gt;0&lt;/span&gt;&lt;/p&gt;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class="stat-value-2"&gt;0&lt;/span&gt;&lt;/p&gt;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class="stat-value-2"&gt;0&lt;/span&gt;&lt;/p&gt;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class="stat-value-2"&gt;0&lt;/span&gt;&lt;/p&gt;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class="stat-value-2"&gt;1&lt;/span&gt;&lt;/p&gt;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class="stat-value-2"&gt;0&lt;/span&gt;&lt;/p&gt;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class="stat-value-2"&gt;0&lt;/span&gt;&lt;/p&gt;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class="stat-value-2"&gt;0&lt;/span&gt;&lt;/p&gt;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class="stat-value-2"&gt;1&lt;/span&gt;&lt;/p&gt;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class="stat-value-2"&gt;0&lt;/span&gt;&lt;/p&gt;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class="stat-value-2"&gt;0&lt;/span&gt;&lt;/p&gt;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class="stat-value-2"&gt;0&lt;/span&gt;&lt;/p&gt;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class="stat-value-2"&gt;0&lt;/span&gt;&lt;/p&gt;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class="stat-value-2"&gt;0&lt;/span&gt;&lt;/p&gt;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class="stat-value-2"&gt;0&lt;/span&gt;&lt;/p&gt;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class="stat-value-2"&gt;6&lt;/span&gt;&lt;/p&gt;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class="stat-value-2"&gt;26&lt;/span&gt;&lt;/p&gt;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class="stat-value-2"&gt;24&lt;/span&gt;&lt;/p&gt;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class="stat-value-2"&gt;16&lt;/span&gt;&lt;/p&gt;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class="stat-value-2"&gt;8&lt;/span&gt;&lt;/p&gt;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class="stat-value-2"&gt;31&lt;/span&gt;&lt;/p&gt;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class="stat-value-2"&gt;0&lt;/span&gt;&lt;/p&gt;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class="stat-value-2"&gt;11&lt;/span&gt;&lt;/p&gt;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class="stat-value-2"&gt;0&lt;/span&gt;&lt;/p&gt;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class="stat-value-2"&gt;0&lt;/span&gt;&lt;/p&gt;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class="stat-value-2"&gt;0&lt;/span&gt;&lt;/p&gt;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class="stat-value-2"&gt;21&lt;/span&gt;&lt;/p&gt;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class="stat-value-2"&gt;19&lt;/span&gt;&lt;/p&gt;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class="stat-value-2"&gt;3&lt;/span&gt;&lt;/p&gt;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class="stat-value-2"&gt;0&lt;/span&gt;&lt;/p&gt;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class="stat-value-2"&gt;5&lt;/span&gt;&lt;/p&gt;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class="stat-value-2"&gt;6&lt;/span&gt;&lt;/p&gt;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class="stat-value-2"&gt;0&lt;/span&gt;&lt;/p&gt;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class="stat-value-2"&gt;4&lt;/span&gt;&lt;/p&gt;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class="stat-value-2"&gt;12&lt;/span&gt;&lt;/p&gt;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class="stat-value-2"&gt;0&lt;/span&gt;&lt;/p&gt;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class="stat-value-2"&gt;1&lt;/span&gt;&lt;/p&gt;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class="stat-value-2"&gt;0&lt;/span&gt;&lt;/p&gt;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class="stat-value-2"&gt;0.09&lt;/span&gt;&lt;/p&gt;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class="stat-value-2"&gt;0.29&lt;/span&gt;&lt;/p&gt;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class="stat-value-2"&gt;0.27&lt;/span&gt;&lt;/p&gt;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class="stat-value-2"&gt;0.32&lt;/span&gt;&lt;/p&gt;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class="stat-value-2"&gt;0.09&lt;/span&gt;&lt;/p&gt;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class="stat-value-2"&gt;0.34&lt;/span&gt;&lt;/p&gt;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class="stat-value-2"&gt;0.37&lt;/span&gt;&lt;/p&gt;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class="stat-value-2"&gt;0.35&lt;/span&gt;&lt;/p&gt;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class="stat-value-2"&gt;0.35&lt;/span&gt;&lt;/p&gt;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class="stat-value-2"&gt;0.20&lt;/span&gt;&lt;/p&gt;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class="stat-value-2"&gt;0.08&lt;/span&gt;&lt;/p&gt;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class="stat-value-2"&gt;0.19&lt;/span&gt;&lt;/p&gt;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class="stat-value-2"&gt;0.07&lt;/span&gt;&lt;/p&gt;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class="stat-value-2"&gt;0.15&lt;/span&gt;&lt;/p&gt;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class="stat-value-2"&gt;0.04&lt;/span&gt;&lt;/p&gt;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class="stat-value-2"&gt;0&lt;/span&gt;&lt;/p&gt;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class="stat-value-2"&gt;0&lt;/span&gt;&lt;/p&gt;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class="stat-value-2"&gt;1&lt;/span&gt;&lt;/p&gt;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class="stat-value-2"&gt;5&lt;/span&gt;&lt;/p&gt;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class="stat-value-2"&gt;4&lt;/span&gt;&lt;/p&gt;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class="stat-value-2"&gt;5&lt;/span&gt;&lt;/p&gt;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class="stat-value-2"&gt;0&lt;/span&gt;&lt;/p&gt;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class="stat-value-2"&gt;2&lt;/span&gt;&lt;/p&gt;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class="stat-value-2"&gt;0&lt;/span&gt;&lt;/p&gt;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class="stat-value-2"&gt;0&lt;/span&gt;&lt;/p&gt;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class="stat-value-2"&gt;0&lt;/span&gt;&lt;/p&gt;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class="stat-value-2"&gt;0&lt;/span&gt;&lt;/p&gt;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class="stat-value-2"&gt;5&lt;/span&gt;&lt;/p&gt;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class="stat-value-2"&gt;0&lt;/span&gt;&lt;/p&gt;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class="stat-value-2"&gt;0&lt;/span&gt;&lt;/p&gt;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class="stat-value-2"&gt;0&lt;/span&gt;&lt;/p&gt;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class="stat-value-2"&gt;0&lt;/span&gt;&lt;/p&gt;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class="stat-value-2"&gt;0&lt;/span&gt;&lt;/p&gt;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class="stat-value-2"&gt;1&lt;/span&gt;&lt;/p&gt;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class="stat-value-2"&gt;5&lt;/span&gt;&lt;/p&gt;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class="stat-value-2"&gt;0&lt;/span&gt;&lt;/p&gt;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class="stat-value-2"&gt;0&lt;/span&gt;&lt;/p&gt;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class="stat-value-2"&gt;0&lt;/span&gt;&lt;/p&gt;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class="stat-value-2"&gt;0&lt;/span&gt;&lt;/p&gt;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class="stat-value-2"&gt;3&lt;/span&gt;&lt;/p&gt;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class="stat-value-2"&gt;4&lt;/span&gt;&lt;/p&gt;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class="stat-value-2"&gt;1&lt;/span&gt;&lt;/p&gt;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class="stat-value-2"&gt;0&lt;/span&gt;&lt;/p&gt;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class="stat-value-2"&gt;3&lt;/span&gt;&lt;/p&gt;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class="stat-value-2"&gt;0&lt;/span&gt;&lt;/p&gt;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class="stat-value-2"&gt;2&lt;/span&gt;&lt;/p&gt;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class="stat-value-2"&gt;0&lt;/span&gt;&lt;/p&gt;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class="stat-value-2"&gt;0&lt;/span&gt;&lt;/p&gt;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class="stat-value-2"&gt;0&lt;/span&gt;&lt;/p&gt;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class="stat-value-2"&gt;3&lt;/span&gt;&lt;/p&gt;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class="stat-value-2"&gt;0&lt;/span&gt;&lt;/p&gt;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class="stat-value-2"&gt;0&lt;/span&gt;&lt;/p&gt;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class="stat-value-2"&gt;0&lt;/span&gt;&lt;/p&gt;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class="stat-value-2"&gt;1&lt;/span&gt;&lt;/p&gt;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class="stat-value-2"&gt;0&lt;/span&gt;&lt;/p&gt;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class="stat-value-2"&gt;0&lt;/span&gt;&lt;/p&gt;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class="stat-value-2"&gt;0&lt;/span&gt;&lt;/p&gt;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class="stat-value-2"&gt;1&lt;/span&gt;&lt;/p&gt;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class="stat-value-2"&gt;0&lt;/span&gt;&lt;/p&gt;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class="stat-value-2"&gt;0&lt;/span&gt;&lt;/p&gt;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class="stat-value-2"&gt;0&lt;/span&gt;&lt;/p&gt;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class="stat-value-2"&gt;2&lt;/span&gt;&lt;/p&gt;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class="stat-value-2"&gt;2&lt;/span&gt;&lt;/p&gt;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class="stat-value-2"&gt;3&lt;/span&gt;&lt;/p&gt;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class="stat-value-2"&gt;0&lt;/span&gt;&lt;/p&gt;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class="stat-value-2"&gt;0&lt;/span&gt;&lt;/p&gt;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class="stat-value-2"&gt;5&lt;/span&gt;&lt;/p&gt;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class="stat-value-2"&gt;0&lt;/span&gt;&lt;/p&gt;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class="stat-value-2"&gt;1&lt;/span&gt;&lt;/p&gt;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class="stat-value-2"&gt;0&lt;/span&gt;&lt;/p&gt;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class="stat-value-2"&gt;0&lt;/span&gt;&lt;/p&gt;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class="stat-value-2"&gt;0&lt;/span&gt;&lt;/p&gt;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class="stat-value-2"&gt;1&lt;/span&gt;&lt;/p&gt;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class="stat-value-2"&gt;3&lt;/span&gt;&lt;/p&gt;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class="stat-value-2"&gt;0&lt;/span&gt;&lt;/p&gt;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class="stat-value-2"&gt;0&lt;/span&gt;&lt;/p&gt;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class="stat-value-2"&gt;0&lt;/span&gt;&lt;/p&gt;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class="stat-value-2"&gt;0&lt;/span&gt;&lt;/p&gt;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class="stat-value-2"&gt;0&lt;/span&gt;&lt;/p&gt;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class="stat-value-2"&gt;0&lt;/span&gt;&lt;/p&gt;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class="stat-value-2"&gt;1&lt;/span&gt;&lt;/p&gt;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class="stat-value-2"&gt;0&lt;/span&gt;&lt;/p&gt;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class="stat-value-2"&gt;0&lt;/span&gt;&lt;/p&gt;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class="stat-value-2"&gt;0&lt;/span&gt;&lt;/p&gt;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class="stat-value-2"&gt;0&lt;/span&gt;&lt;/p&gt;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class="stat-value-2"&gt;2&lt;/span&gt;&lt;/p&gt;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class="stat-value-2"&gt;0&lt;/span&gt;&lt;/p&gt;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class="stat-value-2"&gt;0&lt;/span&gt;&lt;/p&gt;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class="stat-value-2"&gt;0&lt;/span&gt;&lt;/p&gt;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class="stat-value-2"&gt;0&lt;/span&gt;&lt;/p&gt;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class="stat-value-2"&gt;0&lt;/span&gt;&lt;/p&gt;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class="stat-value-2"&gt;2&lt;/span&gt;&lt;/p&gt;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class="stat-value-2"&gt;0&lt;/span&gt;&lt;/p&gt;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class="stat-value-2"&gt;0&lt;/span&gt;&lt;/p&gt;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class="stat-value-2"&gt;0&lt;/span&gt;&lt;/p&gt;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class="stat-value-2"&gt;2&lt;/span&gt;&lt;/p&gt;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class="stat-value-2"&gt;0&lt;/span&gt;&lt;/p&gt;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class="stat-value-2"&gt;0&lt;/span&gt;&lt;/p&gt;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class="stat-value-2"&gt;0&lt;/span&gt;&lt;/p&gt;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class="stat-value-2"&gt;0&lt;/span&gt;&lt;/p&gt;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class="stat-value-2"&gt;0&lt;/span&gt;&lt;/p&gt;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class="stat-value-2"&gt;0&lt;/span&gt;&lt;/p&gt;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class="stat-value-2"&gt;0&lt;/span&gt;&lt;/p&gt;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class="stat-value-2"&gt;1&lt;/span&gt;&lt;/p&gt;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class="stat-value-2"&gt;0&lt;/span&gt;&lt;/p&gt;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class="stat-value-2"&gt;0&lt;/span&gt;&lt;/p&gt;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class="stat-value-2"&gt;0&lt;/span&gt;&lt;/p&gt;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class="stat-value-2"&gt;0&lt;/span&gt;&lt;/p&gt;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class="stat-value-2"&gt;3&lt;/span&gt;&lt;/p&gt;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class="stat-value-2"&gt;1&lt;/span&gt;&lt;/p&gt;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class="stat-value-2"&gt;0&lt;/span&gt;&lt;/p&gt;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class="stat-value-2"&gt;0&lt;/span&gt;&lt;/p&gt;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class="stat-value-2"&gt;4&lt;/span&gt;&lt;/p&gt;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class="stat-value-2"&gt;0&lt;/span&gt;&lt;/p&gt;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class="stat-value-2"&gt;0&lt;/span&gt;&lt;/p&gt;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class="stat-value-2"&gt;0&lt;/span&gt;&lt;/p&gt;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class="stat-value-2"&gt;0&lt;/span&gt;&lt;/p&gt;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class="stat-value-2"&gt;0&lt;/span&gt;&lt;/p&gt;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class="stat-value-2"&gt;2&lt;/span&gt;&lt;/p&gt;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class="stat-value-2"&gt;1&lt;/span&gt;&lt;/p&gt;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class="stat-value-2"&gt;1&lt;/span&gt;&lt;/p&gt;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class="stat-value-2"&gt;0&lt;/span&gt;&lt;/p&gt;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class="stat-value-2"&gt;0&lt;/span&gt;&lt;/p&gt;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class="stat-value-2"&gt;1&lt;/span&gt;&lt;/p&gt;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class="stat-value-2"&gt;0&lt;/span&gt;&lt;/p&gt;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class="stat-value-2"&gt;0&lt;/span&gt;&lt;/p&gt;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class="stat-value-2"&gt;0&lt;/span&gt;&lt;/p&gt;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class="stat-value-2"&gt;0&lt;/span&gt;&lt;/p&gt;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class="stat-value-2"&gt;0&lt;/span&gt;&lt;/p&gt;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class="stat-value-2"&gt;0&lt;/span&gt;&lt;/p&gt;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class="stat-value-2"&gt;0&lt;/span&gt;&lt;/p&gt;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class="stat-value-2"&gt;1&lt;/span&gt;&lt;/p&gt;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class="stat-value-2"&gt;1&lt;/span&gt;&lt;/p&gt;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class="stat-value-2"&gt;1&lt;/span&gt;&lt;/p&gt;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class="stat-value-2"&gt;0&lt;/span&gt;&lt;/p&gt;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class="stat-value-2"&gt;0&lt;/span&gt;&lt;/p&gt;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class="stat-value-2"&gt;0&lt;/span&gt;&lt;/p&gt;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class="stat-value-2"&gt;0&lt;/span&gt;&lt;/p&gt;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class="stat-value-2"&gt;0&lt;/span&gt;&lt;/p&gt;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class="stat-value-2"&gt;0&lt;/span&gt;&lt;/p&gt;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class="stat-value-2"&gt;0&lt;/span&gt;&lt;/p&gt;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class="stat-value-2"&gt;3&lt;/span&gt;&lt;/p&gt;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class="stat-value-2"&gt;1&lt;/span&gt;&lt;/p&gt;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class="stat-value-2"&gt;0&lt;/span&gt;&lt;/p&gt;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class="stat-value-2"&gt;0&lt;/span&gt;&lt;/p&gt;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class="stat-value-2"&gt;0&lt;/span&gt;&lt;/p&gt;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class="stat-value-2"&gt;2&lt;/span&gt;&lt;/p&gt;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class="stat-value-2"&gt;0&lt;/span&gt;&lt;/p&gt;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class="stat-value-2"&gt;0&lt;/span&gt;&lt;/p&gt;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class="stat-value-2"&gt;0&lt;/span&gt;&lt;/p&gt;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class="stat-value-2"&gt;0&lt;/span&gt;&lt;/p&gt;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class="stat-value-2"&gt;0&lt;/span&gt;&lt;/p&gt;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class="stat-value-2"&gt;0&lt;/span&gt;&lt;/p&gt;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class="stat-value-2"&gt;1&lt;/span&gt;&lt;/p&gt;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class="stat-value-2"&gt;7&lt;/span&gt;&lt;/p&gt;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class="stat-value-2"&gt;9&lt;/span&gt;&lt;/p&gt;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class="stat-value-2"&gt;6&lt;/span&gt;&lt;/p&gt;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class="stat-value-2"&gt;1&lt;/span&gt;&lt;/p&gt;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class="stat-value-2"&gt;12&lt;/span&gt;&lt;/p&gt;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class="stat-value-2"&gt;0&lt;/span&gt;&lt;/p&gt;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class="stat-value-2"&gt;2&lt;/span&gt;&lt;/p&gt;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class="stat-value-2"&gt;0&lt;/span&gt;&lt;/p&gt;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class="stat-value-2"&gt;0&lt;/span&gt;&lt;/p&gt;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class="stat-value-2"&gt;0&lt;/span&gt;&lt;/p&gt;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class="stat-value-2"&gt;6&lt;/span&gt;&lt;/p&gt;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class="stat-value-2"&gt;4&lt;/span&gt;&lt;/p&gt;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class="stat-value-2"&gt;0&lt;/span&gt;&lt;/p&gt;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class="stat-value-2"&gt;0&lt;/span&gt;&lt;/p&gt;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class="stat-value-2"&gt;1&lt;/span&gt;&lt;/p&gt;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class="stat-value-2"&gt;1&lt;/span&gt;&lt;/p&gt;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class="stat-value-2"&gt;0&lt;/span&gt;&lt;/p&gt;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class="stat-value-2"&gt;0&lt;/span&gt;&lt;/p&gt;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class="stat-value-2"&gt;1&lt;/span&gt;&lt;/p&gt;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class="stat-value-2"&gt;0&lt;/span&gt;&lt;/p&gt;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class="stat-value-2"&gt;0&lt;/span&gt;&lt;/p&gt;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class="stat-value-2"&gt;0&lt;/span&gt;&lt;/p&gt;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class="stat-value-2"&gt;3&lt;/span&gt;&lt;/p&gt;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class="stat-value-2"&gt;8&lt;/span&gt;&lt;/p&gt;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class="stat-value-2"&gt;5&lt;/span&gt;&lt;/p&gt;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class="stat-value-2"&gt;3&lt;/span&gt;&lt;/p&gt;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class="stat-value-2"&gt;3&lt;/span&gt;&lt;/p&gt;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class="stat-value-2"&gt;2&lt;/span&gt;&lt;/p&gt;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class="stat-value-2"&gt;0&lt;/span&gt;&lt;/p&gt;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class="stat-value-2"&gt;2&lt;/span&gt;&lt;/p&gt;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class="stat-value-2"&gt;0&lt;/span&gt;&lt;/p&gt;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class="stat-value-2"&gt;0&lt;/span&gt;&lt;/p&gt;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class="stat-value-2"&gt;0&lt;/span&gt;&lt;/p&gt;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class="stat-value-2"&gt;4&lt;/span&gt;&lt;/p&gt;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class="stat-value-2"&gt;5&lt;/span&gt;&lt;/p&gt;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class="stat-value-2"&gt;2&lt;/span&gt;&lt;/p&gt;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class="stat-value-2"&gt;0&lt;/span&gt;&lt;/p&gt;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class="stat-value-2"&gt;3&lt;/span&gt;&lt;/p&gt;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class="stat-value-2"&gt;2&lt;/span&gt;&lt;/p&gt;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class="stat-value-2"&gt;0&lt;/span&gt;&lt;/p&gt;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class="stat-value-2"&gt;3&lt;/span&gt;&lt;/p&gt;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class="stat-value-2"&gt;3&lt;/span&gt;&lt;/p&gt;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class="stat-value-2"&gt;0&lt;/span&gt;&lt;/p&gt;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class="stat-value-2"&gt;1&lt;/span&gt;&lt;/p&gt;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class="stat-value-2"&gt;0&lt;/span&gt;&lt;/p&gt;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86AA-DD88-4BFD-AE7C-2B5BB1DFF737}">
  <dimension ref="A1:AT157"/>
  <sheetViews>
    <sheetView topLeftCell="A86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694C-EFED-4E10-A24F-58E2400CD105}">
  <dimension ref="A1:AT157"/>
  <sheetViews>
    <sheetView topLeftCell="A88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2AEC-75F9-4AA8-AC3F-C00CF5D28DBA}">
  <dimension ref="A1:AT157"/>
  <sheetViews>
    <sheetView topLeftCell="A91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6D65-0758-4FC2-A319-312BAF3D435F}">
  <dimension ref="A1:AT157"/>
  <sheetViews>
    <sheetView topLeftCell="A88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5E05-0A22-4970-BE4A-824ADA94A477}">
  <dimension ref="A1:AT157"/>
  <sheetViews>
    <sheetView topLeftCell="A89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101D-6061-4161-9DBD-C6D6254F7348}">
  <dimension ref="A1:AT157"/>
  <sheetViews>
    <sheetView topLeftCell="A82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97ED-71E9-47BD-BA7D-7BF0AEA41FD4}">
  <dimension ref="A1:AT157"/>
  <sheetViews>
    <sheetView topLeftCell="A87" workbookViewId="0">
      <selection activeCell="A107" sqref="A107:XFD157"/>
    </sheetView>
  </sheetViews>
  <sheetFormatPr defaultRowHeight="14.4" x14ac:dyDescent="0.3"/>
  <cols>
    <col min="1" max="1" width="9.44140625" bestFit="1" customWidth="1"/>
  </cols>
  <sheetData>
    <row r="1" spans="1:46" x14ac:dyDescent="0.3"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48</v>
      </c>
      <c r="AT1" t="s">
        <v>49</v>
      </c>
    </row>
    <row r="2" spans="1:46" x14ac:dyDescent="0.3">
      <c r="A2" t="s">
        <v>25</v>
      </c>
      <c r="O2" s="1">
        <f>IFERROR(N2/B2,0)</f>
        <v>0</v>
      </c>
      <c r="Y2" s="1">
        <f>IFERROR(X2/B2,0)</f>
        <v>0</v>
      </c>
      <c r="AA2" s="1">
        <f>IFERROR(Z2/B2,0)</f>
        <v>0</v>
      </c>
      <c r="AC2" t="str">
        <f>"&lt;tr&gt;&lt;td&gt;Jones&lt;/td&gt;&lt;td&gt;"&amp;B2&amp;"&lt;/td&gt;&lt;td&gt;"&amp;C2&amp;"&lt;/td&gt;&lt;td&gt;"&amp;D2&amp;"&lt;/td&gt;&lt;td&gt;"&amp;E2&amp;"&lt;/td&gt;&lt;td&gt;"&amp;F2&amp;"&lt;/td&gt;&lt;td&gt;"&amp;G2&amp;"&lt;/td&gt;&lt;td&gt;"&amp;H2&amp;"&lt;/td&gt;&lt;td&gt;"&amp;I2&amp;"&lt;/td&gt;&lt;td&gt;"&amp;J2&amp;"&lt;/td&gt;&lt;td&gt;"&amp;K2&amp;"&lt;/td&gt;&lt;td&gt;"&amp;L2&amp;"&lt;/td&gt;&lt;td&gt;"&amp;M2&amp;"&lt;/td&gt;&lt;td&gt;"&amp;N2&amp;"&lt;/td&gt;&lt;td&gt;"&amp;TEXT(O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" t="str">
        <f>"&lt;tr&gt;&lt;td&gt;Jones&lt;/td&gt;&lt;td&gt;"&amp;B2&amp;"&lt;/td&gt;&lt;td&gt;"&amp;P2&amp;"&lt;/td&gt;&lt;td&gt;"&amp;Q2&amp;"&lt;/td&gt;&lt;td&gt;"&amp;R2&amp;"&lt;/td&gt;&lt;td&gt;"&amp;S2&amp;"&lt;/td&gt;&lt;td&gt;"&amp;T2&amp;"&lt;/td&gt;&lt;td&gt;"&amp;U2&amp;"&lt;/td&gt;&lt;td&gt;"&amp;V2&amp;"&lt;/td&gt;&lt;td&gt;"&amp;W2&amp;"&lt;/td&gt;&lt;td&gt;"&amp;X2&amp;"&lt;/td&gt;&lt;td&gt;"&amp;TEXT(Y2,"0.00")&amp;"&lt;/td&gt;&lt;td&gt;"&amp;Z2&amp;"&lt;/td&gt;&lt;td&gt;"&amp;TEXT(AA2,"0.00")&amp;"&lt;/td&gt;&lt;/tr&gt;"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" spans="1:46" x14ac:dyDescent="0.3">
      <c r="A3" t="s">
        <v>26</v>
      </c>
      <c r="O3" s="1">
        <f t="shared" ref="O3:O24" si="0">IFERROR(N3/B3,0)</f>
        <v>0</v>
      </c>
      <c r="Y3" s="1">
        <f t="shared" ref="Y3:Y24" si="1">IFERROR(X3/B3,0)</f>
        <v>0</v>
      </c>
      <c r="AA3" s="1">
        <f t="shared" ref="AA3:AA24" si="2">IFERROR(Z3/B3,0)</f>
        <v>0</v>
      </c>
      <c r="AC3" t="str">
        <f>"&lt;tr&gt;&lt;td&gt;Geraneo&lt;/td&gt;&lt;td&gt;"&amp;B3&amp;"&lt;/td&gt;&lt;td&gt;"&amp;C3&amp;"&lt;/td&gt;&lt;td&gt;"&amp;D3&amp;"&lt;/td&gt;&lt;td&gt;"&amp;E3&amp;"&lt;/td&gt;&lt;td&gt;"&amp;F3&amp;"&lt;/td&gt;&lt;td&gt;"&amp;G3&amp;"&lt;/td&gt;&lt;td&gt;"&amp;H3&amp;"&lt;/td&gt;&lt;td&gt;"&amp;I3&amp;"&lt;/td&gt;&lt;td&gt;"&amp;J3&amp;"&lt;/td&gt;&lt;td&gt;"&amp;K3&amp;"&lt;/td&gt;&lt;td&gt;"&amp;L3&amp;"&lt;/td&gt;&lt;td&gt;"&amp;M3&amp;"&lt;/td&gt;&lt;td&gt;"&amp;N3&amp;"&lt;/td&gt;&lt;td&gt;"&amp;TEXT(O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3" t="str">
        <f>"&lt;tr&gt;&lt;td&gt;Geraneo&lt;/td&gt;&lt;td&gt;"&amp;B3&amp;"&lt;/td&gt;&lt;td&gt;"&amp;P3&amp;"&lt;/td&gt;&lt;td&gt;"&amp;Q3&amp;"&lt;/td&gt;&lt;td&gt;"&amp;R3&amp;"&lt;/td&gt;&lt;td&gt;"&amp;S3&amp;"&lt;/td&gt;&lt;td&gt;"&amp;T3&amp;"&lt;/td&gt;&lt;td&gt;"&amp;U3&amp;"&lt;/td&gt;&lt;td&gt;"&amp;V3&amp;"&lt;/td&gt;&lt;td&gt;"&amp;W3&amp;"&lt;/td&gt;&lt;td&gt;"&amp;X3&amp;"&lt;/td&gt;&lt;td&gt;"&amp;TEXT(Y3,"0.00")&amp;"&lt;/td&gt;&lt;td&gt;"&amp;Z3&amp;"&lt;/td&gt;&lt;td&gt;"&amp;TEXT(AA3,"0.00")&amp;"&lt;/td&gt;&lt;/tr&gt;"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" spans="1:46" x14ac:dyDescent="0.3">
      <c r="A4" t="s">
        <v>27</v>
      </c>
      <c r="O4" s="1">
        <f t="shared" si="0"/>
        <v>0</v>
      </c>
      <c r="Y4" s="1">
        <f t="shared" si="1"/>
        <v>0</v>
      </c>
      <c r="AA4" s="1">
        <f t="shared" si="2"/>
        <v>0</v>
      </c>
      <c r="AC4" t="str">
        <f>"&lt;tr&gt;&lt;td&gt;Makovicka&lt;/td&gt;&lt;td&gt;"&amp;B4&amp;"&lt;/td&gt;&lt;td&gt;"&amp;C4&amp;"&lt;/td&gt;&lt;td&gt;"&amp;D4&amp;"&lt;/td&gt;&lt;td&gt;"&amp;E4&amp;"&lt;/td&gt;&lt;td&gt;"&amp;F4&amp;"&lt;/td&gt;&lt;td&gt;"&amp;G4&amp;"&lt;/td&gt;&lt;td&gt;"&amp;H4&amp;"&lt;/td&gt;&lt;td&gt;"&amp;I4&amp;"&lt;/td&gt;&lt;td&gt;"&amp;J4&amp;"&lt;/td&gt;&lt;td&gt;"&amp;K4&amp;"&lt;/td&gt;&lt;td&gt;"&amp;L4&amp;"&lt;/td&gt;&lt;td&gt;"&amp;M4&amp;"&lt;/td&gt;&lt;td&gt;"&amp;N4&amp;"&lt;/td&gt;&lt;td&gt;"&amp;TEXT(O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4" t="str">
        <f>"&lt;tr&gt;&lt;td&gt;Makovicka&lt;/td&gt;&lt;td&gt;"&amp;B4&amp;"&lt;/td&gt;&lt;td&gt;"&amp;P4&amp;"&lt;/td&gt;&lt;td&gt;"&amp;Q4&amp;"&lt;/td&gt;&lt;td&gt;"&amp;R4&amp;"&lt;/td&gt;&lt;td&gt;"&amp;S4&amp;"&lt;/td&gt;&lt;td&gt;"&amp;T4&amp;"&lt;/td&gt;&lt;td&gt;"&amp;U4&amp;"&lt;/td&gt;&lt;td&gt;"&amp;V4&amp;"&lt;/td&gt;&lt;td&gt;"&amp;W4&amp;"&lt;/td&gt;&lt;td&gt;"&amp;X4&amp;"&lt;/td&gt;&lt;td&gt;"&amp;TEXT(Y4,"0.00")&amp;"&lt;/td&gt;&lt;td&gt;"&amp;Z4&amp;"&lt;/td&gt;&lt;td&gt;"&amp;TEXT(AA4,"0.00")&amp;"&lt;/td&gt;&lt;/tr&gt;"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" spans="1:46" x14ac:dyDescent="0.3">
      <c r="A5" t="s">
        <v>28</v>
      </c>
      <c r="O5" s="1">
        <f t="shared" si="0"/>
        <v>0</v>
      </c>
      <c r="Y5" s="1">
        <f t="shared" si="1"/>
        <v>0</v>
      </c>
      <c r="AA5" s="1">
        <f t="shared" si="2"/>
        <v>0</v>
      </c>
      <c r="AC5" t="str">
        <f>"&lt;tr&gt;&lt;td&gt;Bohonek&lt;/td&gt;&lt;td&gt;"&amp;B5&amp;"&lt;/td&gt;&lt;td&gt;"&amp;C5&amp;"&lt;/td&gt;&lt;td&gt;"&amp;D5&amp;"&lt;/td&gt;&lt;td&gt;"&amp;E5&amp;"&lt;/td&gt;&lt;td&gt;"&amp;F5&amp;"&lt;/td&gt;&lt;td&gt;"&amp;G5&amp;"&lt;/td&gt;&lt;td&gt;"&amp;H5&amp;"&lt;/td&gt;&lt;td&gt;"&amp;I5&amp;"&lt;/td&gt;&lt;td&gt;"&amp;J5&amp;"&lt;/td&gt;&lt;td&gt;"&amp;K5&amp;"&lt;/td&gt;&lt;td&gt;"&amp;L5&amp;"&lt;/td&gt;&lt;td&gt;"&amp;M5&amp;"&lt;/td&gt;&lt;td&gt;"&amp;N5&amp;"&lt;/td&gt;&lt;td&gt;"&amp;TEXT(O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5" t="str">
        <f>"&lt;tr&gt;&lt;td&gt;Bohonek&lt;/td&gt;&lt;td&gt;"&amp;B5&amp;"&lt;/td&gt;&lt;td&gt;"&amp;P5&amp;"&lt;/td&gt;&lt;td&gt;"&amp;Q5&amp;"&lt;/td&gt;&lt;td&gt;"&amp;R5&amp;"&lt;/td&gt;&lt;td&gt;"&amp;S5&amp;"&lt;/td&gt;&lt;td&gt;"&amp;T5&amp;"&lt;/td&gt;&lt;td&gt;"&amp;U5&amp;"&lt;/td&gt;&lt;td&gt;"&amp;V5&amp;"&lt;/td&gt;&lt;td&gt;"&amp;W5&amp;"&lt;/td&gt;&lt;td&gt;"&amp;X5&amp;"&lt;/td&gt;&lt;td&gt;"&amp;TEXT(Y5,"0.00")&amp;"&lt;/td&gt;&lt;td&gt;"&amp;Z5&amp;"&lt;/td&gt;&lt;td&gt;"&amp;TEXT(AA5,"0.00")&amp;"&lt;/td&gt;&lt;/tr&gt;"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" spans="1:46" x14ac:dyDescent="0.3">
      <c r="A6" t="s">
        <v>29</v>
      </c>
      <c r="O6" s="1">
        <f t="shared" si="0"/>
        <v>0</v>
      </c>
      <c r="Y6" s="1">
        <f t="shared" si="1"/>
        <v>0</v>
      </c>
      <c r="AA6" s="1">
        <f t="shared" si="2"/>
        <v>0</v>
      </c>
      <c r="AC6" t="str">
        <f>"&lt;tr&gt;&lt;td&gt;Wistrom&lt;/td&gt;&lt;td&gt;"&amp;B6&amp;"&lt;/td&gt;&lt;td&gt;"&amp;C6&amp;"&lt;/td&gt;&lt;td&gt;"&amp;D6&amp;"&lt;/td&gt;&lt;td&gt;"&amp;E6&amp;"&lt;/td&gt;&lt;td&gt;"&amp;F6&amp;"&lt;/td&gt;&lt;td&gt;"&amp;G6&amp;"&lt;/td&gt;&lt;td&gt;"&amp;H6&amp;"&lt;/td&gt;&lt;td&gt;"&amp;I6&amp;"&lt;/td&gt;&lt;td&gt;"&amp;J6&amp;"&lt;/td&gt;&lt;td&gt;"&amp;K6&amp;"&lt;/td&gt;&lt;td&gt;"&amp;L6&amp;"&lt;/td&gt;&lt;td&gt;"&amp;M6&amp;"&lt;/td&gt;&lt;td&gt;"&amp;N6&amp;"&lt;/td&gt;&lt;td&gt;"&amp;TEXT(O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6" t="str">
        <f>"&lt;tr&gt;&lt;td&gt;Wistrom&lt;/td&gt;&lt;td&gt;"&amp;B6&amp;"&lt;/td&gt;&lt;td&gt;"&amp;P6&amp;"&lt;/td&gt;&lt;td&gt;"&amp;Q6&amp;"&lt;/td&gt;&lt;td&gt;"&amp;R6&amp;"&lt;/td&gt;&lt;td&gt;"&amp;S6&amp;"&lt;/td&gt;&lt;td&gt;"&amp;T6&amp;"&lt;/td&gt;&lt;td&gt;"&amp;U6&amp;"&lt;/td&gt;&lt;td&gt;"&amp;V6&amp;"&lt;/td&gt;&lt;td&gt;"&amp;W6&amp;"&lt;/td&gt;&lt;td&gt;"&amp;X6&amp;"&lt;/td&gt;&lt;td&gt;"&amp;TEXT(Y6,"0.00")&amp;"&lt;/td&gt;&lt;td&gt;"&amp;Z6&amp;"&lt;/td&gt;&lt;td&gt;"&amp;TEXT(AA6,"0.00")&amp;"&lt;/td&gt;&lt;/tr&gt;"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" spans="1:46" x14ac:dyDescent="0.3">
      <c r="A7" t="s">
        <v>30</v>
      </c>
      <c r="O7" s="1">
        <f t="shared" si="0"/>
        <v>0</v>
      </c>
      <c r="Y7" s="1">
        <f t="shared" si="1"/>
        <v>0</v>
      </c>
      <c r="AA7" s="1">
        <f t="shared" si="2"/>
        <v>0</v>
      </c>
      <c r="AC7" t="str">
        <f>"&lt;tr&gt;&lt;td&gt;Donnelly&lt;/td&gt;&lt;td&gt;"&amp;B7&amp;"&lt;/td&gt;&lt;td&gt;"&amp;C7&amp;"&lt;/td&gt;&lt;td&gt;"&amp;D7&amp;"&lt;/td&gt;&lt;td&gt;"&amp;E7&amp;"&lt;/td&gt;&lt;td&gt;"&amp;F7&amp;"&lt;/td&gt;&lt;td&gt;"&amp;G7&amp;"&lt;/td&gt;&lt;td&gt;"&amp;H7&amp;"&lt;/td&gt;&lt;td&gt;"&amp;I7&amp;"&lt;/td&gt;&lt;td&gt;"&amp;J7&amp;"&lt;/td&gt;&lt;td&gt;"&amp;K7&amp;"&lt;/td&gt;&lt;td&gt;"&amp;L7&amp;"&lt;/td&gt;&lt;td&gt;"&amp;M7&amp;"&lt;/td&gt;&lt;td&gt;"&amp;N7&amp;"&lt;/td&gt;&lt;td&gt;"&amp;TEXT(O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7" t="str">
        <f>"&lt;tr&gt;&lt;td&gt;Donnelly&lt;/td&gt;&lt;td&gt;"&amp;B7&amp;"&lt;/td&gt;&lt;td&gt;"&amp;P7&amp;"&lt;/td&gt;&lt;td&gt;"&amp;Q7&amp;"&lt;/td&gt;&lt;td&gt;"&amp;R7&amp;"&lt;/td&gt;&lt;td&gt;"&amp;S7&amp;"&lt;/td&gt;&lt;td&gt;"&amp;T7&amp;"&lt;/td&gt;&lt;td&gt;"&amp;U7&amp;"&lt;/td&gt;&lt;td&gt;"&amp;V7&amp;"&lt;/td&gt;&lt;td&gt;"&amp;W7&amp;"&lt;/td&gt;&lt;td&gt;"&amp;X7&amp;"&lt;/td&gt;&lt;td&gt;"&amp;TEXT(Y7,"0.00")&amp;"&lt;/td&gt;&lt;td&gt;"&amp;Z7&amp;"&lt;/td&gt;&lt;td&gt;"&amp;TEXT(AA7,"0.00")&amp;"&lt;/td&gt;&lt;/tr&gt;"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8" spans="1:46" x14ac:dyDescent="0.3">
      <c r="A8" t="s">
        <v>31</v>
      </c>
      <c r="O8" s="1">
        <f t="shared" si="0"/>
        <v>0</v>
      </c>
      <c r="Y8" s="1">
        <f t="shared" si="1"/>
        <v>0</v>
      </c>
      <c r="AA8" s="1">
        <f t="shared" si="2"/>
        <v>0</v>
      </c>
      <c r="AC8" t="str">
        <f>"&lt;tr&gt;&lt;td&gt;Drozda&lt;/td&gt;&lt;td&gt;"&amp;B8&amp;"&lt;/td&gt;&lt;td&gt;"&amp;C8&amp;"&lt;/td&gt;&lt;td&gt;"&amp;D8&amp;"&lt;/td&gt;&lt;td&gt;"&amp;E8&amp;"&lt;/td&gt;&lt;td&gt;"&amp;F8&amp;"&lt;/td&gt;&lt;td&gt;"&amp;G8&amp;"&lt;/td&gt;&lt;td&gt;"&amp;H8&amp;"&lt;/td&gt;&lt;td&gt;"&amp;I8&amp;"&lt;/td&gt;&lt;td&gt;"&amp;J8&amp;"&lt;/td&gt;&lt;td&gt;"&amp;K8&amp;"&lt;/td&gt;&lt;td&gt;"&amp;L8&amp;"&lt;/td&gt;&lt;td&gt;"&amp;M8&amp;"&lt;/td&gt;&lt;td&gt;"&amp;N8&amp;"&lt;/td&gt;&lt;td&gt;"&amp;TEXT(O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8" t="str">
        <f>"&lt;tr&gt;&lt;td&gt;Drozda&lt;/td&gt;&lt;td&gt;"&amp;B8&amp;"&lt;/td&gt;&lt;td&gt;"&amp;P8&amp;"&lt;/td&gt;&lt;td&gt;"&amp;Q8&amp;"&lt;/td&gt;&lt;td&gt;"&amp;R8&amp;"&lt;/td&gt;&lt;td&gt;"&amp;S8&amp;"&lt;/td&gt;&lt;td&gt;"&amp;T8&amp;"&lt;/td&gt;&lt;td&gt;"&amp;U8&amp;"&lt;/td&gt;&lt;td&gt;"&amp;V8&amp;"&lt;/td&gt;&lt;td&gt;"&amp;W8&amp;"&lt;/td&gt;&lt;td&gt;"&amp;X8&amp;"&lt;/td&gt;&lt;td&gt;"&amp;TEXT(Y8,"0.00")&amp;"&lt;/td&gt;&lt;td&gt;"&amp;Z8&amp;"&lt;/td&gt;&lt;td&gt;"&amp;TEXT(AA8,"0.00")&amp;"&lt;/td&gt;&lt;/tr&gt;"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9" spans="1:46" x14ac:dyDescent="0.3">
      <c r="A9" t="s">
        <v>32</v>
      </c>
      <c r="O9" s="1">
        <f t="shared" si="0"/>
        <v>0</v>
      </c>
      <c r="Y9" s="1">
        <f t="shared" si="1"/>
        <v>0</v>
      </c>
      <c r="AA9" s="1">
        <f t="shared" si="2"/>
        <v>0</v>
      </c>
      <c r="AC9" t="str">
        <f>"&lt;tr&gt;&lt;td&gt;Guyott&lt;/td&gt;&lt;td&gt;"&amp;B9&amp;"&lt;/td&gt;&lt;td&gt;"&amp;C9&amp;"&lt;/td&gt;&lt;td&gt;"&amp;D9&amp;"&lt;/td&gt;&lt;td&gt;"&amp;E9&amp;"&lt;/td&gt;&lt;td&gt;"&amp;F9&amp;"&lt;/td&gt;&lt;td&gt;"&amp;G9&amp;"&lt;/td&gt;&lt;td&gt;"&amp;H9&amp;"&lt;/td&gt;&lt;td&gt;"&amp;I9&amp;"&lt;/td&gt;&lt;td&gt;"&amp;J9&amp;"&lt;/td&gt;&lt;td&gt;"&amp;K9&amp;"&lt;/td&gt;&lt;td&gt;"&amp;L9&amp;"&lt;/td&gt;&lt;td&gt;"&amp;M9&amp;"&lt;/td&gt;&lt;td&gt;"&amp;N9&amp;"&lt;/td&gt;&lt;td&gt;"&amp;TEXT(O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9" t="str">
        <f>"&lt;tr&gt;&lt;td&gt;Guyott&lt;/td&gt;&lt;td&gt;"&amp;B9&amp;"&lt;/td&gt;&lt;td&gt;"&amp;P9&amp;"&lt;/td&gt;&lt;td&gt;"&amp;Q9&amp;"&lt;/td&gt;&lt;td&gt;"&amp;R9&amp;"&lt;/td&gt;&lt;td&gt;"&amp;S9&amp;"&lt;/td&gt;&lt;td&gt;"&amp;T9&amp;"&lt;/td&gt;&lt;td&gt;"&amp;U9&amp;"&lt;/td&gt;&lt;td&gt;"&amp;V9&amp;"&lt;/td&gt;&lt;td&gt;"&amp;W9&amp;"&lt;/td&gt;&lt;td&gt;"&amp;X9&amp;"&lt;/td&gt;&lt;td&gt;"&amp;TEXT(Y9,"0.00")&amp;"&lt;/td&gt;&lt;td&gt;"&amp;Z9&amp;"&lt;/td&gt;&lt;td&gt;"&amp;TEXT(AA9,"0.00")&amp;"&lt;/td&gt;&lt;/tr&gt;"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0" spans="1:46" x14ac:dyDescent="0.3">
      <c r="A10" t="s">
        <v>33</v>
      </c>
      <c r="O10" s="1">
        <f t="shared" si="0"/>
        <v>0</v>
      </c>
      <c r="Y10" s="1">
        <f t="shared" si="1"/>
        <v>0</v>
      </c>
      <c r="AA10" s="1">
        <f t="shared" si="2"/>
        <v>0</v>
      </c>
      <c r="AC10" t="str">
        <f>"&lt;tr&gt;&lt;td&gt;Rudney&lt;/td&gt;&lt;td&gt;"&amp;B10&amp;"&lt;/td&gt;&lt;td&gt;"&amp;C10&amp;"&lt;/td&gt;&lt;td&gt;"&amp;D10&amp;"&lt;/td&gt;&lt;td&gt;"&amp;E10&amp;"&lt;/td&gt;&lt;td&gt;"&amp;F10&amp;"&lt;/td&gt;&lt;td&gt;"&amp;G10&amp;"&lt;/td&gt;&lt;td&gt;"&amp;H10&amp;"&lt;/td&gt;&lt;td&gt;"&amp;I10&amp;"&lt;/td&gt;&lt;td&gt;"&amp;J10&amp;"&lt;/td&gt;&lt;td&gt;"&amp;K10&amp;"&lt;/td&gt;&lt;td&gt;"&amp;L10&amp;"&lt;/td&gt;&lt;td&gt;"&amp;M10&amp;"&lt;/td&gt;&lt;td&gt;"&amp;N10&amp;"&lt;/td&gt;&lt;td&gt;"&amp;TEXT(O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0" t="str">
        <f>"&lt;tr&gt;&lt;td&gt;Rudney&lt;/td&gt;&lt;td&gt;"&amp;B10&amp;"&lt;/td&gt;&lt;td&gt;"&amp;P10&amp;"&lt;/td&gt;&lt;td&gt;"&amp;Q10&amp;"&lt;/td&gt;&lt;td&gt;"&amp;R10&amp;"&lt;/td&gt;&lt;td&gt;"&amp;S10&amp;"&lt;/td&gt;&lt;td&gt;"&amp;T10&amp;"&lt;/td&gt;&lt;td&gt;"&amp;U10&amp;"&lt;/td&gt;&lt;td&gt;"&amp;V10&amp;"&lt;/td&gt;&lt;td&gt;"&amp;W10&amp;"&lt;/td&gt;&lt;td&gt;"&amp;X10&amp;"&lt;/td&gt;&lt;td&gt;"&amp;TEXT(Y10,"0.00")&amp;"&lt;/td&gt;&lt;td&gt;"&amp;Z10&amp;"&lt;/td&gt;&lt;td&gt;"&amp;TEXT(AA10,"0.00")&amp;"&lt;/td&gt;&lt;/tr&gt;"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1" spans="1:46" x14ac:dyDescent="0.3">
      <c r="A11" t="s">
        <v>34</v>
      </c>
      <c r="O11" s="1">
        <f t="shared" si="0"/>
        <v>0</v>
      </c>
      <c r="Y11" s="1">
        <f t="shared" si="1"/>
        <v>0</v>
      </c>
      <c r="AA11" s="1">
        <f t="shared" si="2"/>
        <v>0</v>
      </c>
      <c r="AC11" t="str">
        <f>"&lt;tr&gt;&lt;td&gt;Prososki&lt;/td&gt;&lt;td&gt;"&amp;B11&amp;"&lt;/td&gt;&lt;td&gt;"&amp;C11&amp;"&lt;/td&gt;&lt;td&gt;"&amp;D11&amp;"&lt;/td&gt;&lt;td&gt;"&amp;E11&amp;"&lt;/td&gt;&lt;td&gt;"&amp;F11&amp;"&lt;/td&gt;&lt;td&gt;"&amp;G11&amp;"&lt;/td&gt;&lt;td&gt;"&amp;H11&amp;"&lt;/td&gt;&lt;td&gt;"&amp;I11&amp;"&lt;/td&gt;&lt;td&gt;"&amp;J11&amp;"&lt;/td&gt;&lt;td&gt;"&amp;K11&amp;"&lt;/td&gt;&lt;td&gt;"&amp;L11&amp;"&lt;/td&gt;&lt;td&gt;"&amp;M11&amp;"&lt;/td&gt;&lt;td&gt;"&amp;N11&amp;"&lt;/td&gt;&lt;td&gt;"&amp;TEXT(O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1" t="str">
        <f>"&lt;tr&gt;&lt;td&gt;Prososki&lt;/td&gt;&lt;td&gt;"&amp;B11&amp;"&lt;/td&gt;&lt;td&gt;"&amp;P11&amp;"&lt;/td&gt;&lt;td&gt;"&amp;Q11&amp;"&lt;/td&gt;&lt;td&gt;"&amp;R11&amp;"&lt;/td&gt;&lt;td&gt;"&amp;S11&amp;"&lt;/td&gt;&lt;td&gt;"&amp;T11&amp;"&lt;/td&gt;&lt;td&gt;"&amp;U11&amp;"&lt;/td&gt;&lt;td&gt;"&amp;V11&amp;"&lt;/td&gt;&lt;td&gt;"&amp;W11&amp;"&lt;/td&gt;&lt;td&gt;"&amp;X11&amp;"&lt;/td&gt;&lt;td&gt;"&amp;TEXT(Y11,"0.00")&amp;"&lt;/td&gt;&lt;td&gt;"&amp;Z11&amp;"&lt;/td&gt;&lt;td&gt;"&amp;TEXT(AA11,"0.00")&amp;"&lt;/td&gt;&lt;/tr&gt;"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2" spans="1:46" x14ac:dyDescent="0.3">
      <c r="A12" t="s">
        <v>35</v>
      </c>
      <c r="O12" s="1">
        <f t="shared" si="0"/>
        <v>0</v>
      </c>
      <c r="Y12" s="1">
        <f t="shared" si="1"/>
        <v>0</v>
      </c>
      <c r="AA12" s="1">
        <f t="shared" si="2"/>
        <v>0</v>
      </c>
      <c r="AC12" t="str">
        <f>"&lt;tr&gt;&lt;td&gt;Reda&lt;/td&gt;&lt;td&gt;"&amp;B12&amp;"&lt;/td&gt;&lt;td&gt;"&amp;C12&amp;"&lt;/td&gt;&lt;td&gt;"&amp;D12&amp;"&lt;/td&gt;&lt;td&gt;"&amp;E12&amp;"&lt;/td&gt;&lt;td&gt;"&amp;F12&amp;"&lt;/td&gt;&lt;td&gt;"&amp;G12&amp;"&lt;/td&gt;&lt;td&gt;"&amp;H12&amp;"&lt;/td&gt;&lt;td&gt;"&amp;I12&amp;"&lt;/td&gt;&lt;td&gt;"&amp;J12&amp;"&lt;/td&gt;&lt;td&gt;"&amp;K12&amp;"&lt;/td&gt;&lt;td&gt;"&amp;L12&amp;"&lt;/td&gt;&lt;td&gt;"&amp;M12&amp;"&lt;/td&gt;&lt;td&gt;"&amp;N12&amp;"&lt;/td&gt;&lt;td&gt;"&amp;TEXT(O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2" t="str">
        <f>"&lt;tr&gt;&lt;td&gt;Reda&lt;/td&gt;&lt;td&gt;"&amp;B12&amp;"&lt;/td&gt;&lt;td&gt;"&amp;P12&amp;"&lt;/td&gt;&lt;td&gt;"&amp;Q12&amp;"&lt;/td&gt;&lt;td&gt;"&amp;R12&amp;"&lt;/td&gt;&lt;td&gt;"&amp;S12&amp;"&lt;/td&gt;&lt;td&gt;"&amp;T12&amp;"&lt;/td&gt;&lt;td&gt;"&amp;U12&amp;"&lt;/td&gt;&lt;td&gt;"&amp;V12&amp;"&lt;/td&gt;&lt;td&gt;"&amp;W12&amp;"&lt;/td&gt;&lt;td&gt;"&amp;X12&amp;"&lt;/td&gt;&lt;td&gt;"&amp;TEXT(Y12,"0.00")&amp;"&lt;/td&gt;&lt;td&gt;"&amp;Z12&amp;"&lt;/td&gt;&lt;td&gt;"&amp;TEXT(AA12,"0.00")&amp;"&lt;/td&gt;&lt;/tr&gt;"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3" spans="1:46" x14ac:dyDescent="0.3">
      <c r="A13" t="s">
        <v>36</v>
      </c>
      <c r="O13" s="1">
        <f t="shared" si="0"/>
        <v>0</v>
      </c>
      <c r="Y13" s="1">
        <f t="shared" si="1"/>
        <v>0</v>
      </c>
      <c r="AA13" s="1">
        <f t="shared" si="2"/>
        <v>0</v>
      </c>
      <c r="AC13" t="str">
        <f>"&lt;tr&gt;&lt;td&gt;Kiser&lt;/td&gt;&lt;td&gt;"&amp;B13&amp;"&lt;/td&gt;&lt;td&gt;"&amp;C13&amp;"&lt;/td&gt;&lt;td&gt;"&amp;D13&amp;"&lt;/td&gt;&lt;td&gt;"&amp;E13&amp;"&lt;/td&gt;&lt;td&gt;"&amp;F13&amp;"&lt;/td&gt;&lt;td&gt;"&amp;G13&amp;"&lt;/td&gt;&lt;td&gt;"&amp;H13&amp;"&lt;/td&gt;&lt;td&gt;"&amp;I13&amp;"&lt;/td&gt;&lt;td&gt;"&amp;J13&amp;"&lt;/td&gt;&lt;td&gt;"&amp;K13&amp;"&lt;/td&gt;&lt;td&gt;"&amp;L13&amp;"&lt;/td&gt;&lt;td&gt;"&amp;M13&amp;"&lt;/td&gt;&lt;td&gt;"&amp;N13&amp;"&lt;/td&gt;&lt;td&gt;"&amp;TEXT(O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3" t="str">
        <f>"&lt;tr&gt;&lt;td&gt;Kiser&lt;/td&gt;&lt;td&gt;"&amp;B13&amp;"&lt;/td&gt;&lt;td&gt;"&amp;P13&amp;"&lt;/td&gt;&lt;td&gt;"&amp;Q13&amp;"&lt;/td&gt;&lt;td&gt;"&amp;R13&amp;"&lt;/td&gt;&lt;td&gt;"&amp;S13&amp;"&lt;/td&gt;&lt;td&gt;"&amp;T13&amp;"&lt;/td&gt;&lt;td&gt;"&amp;U13&amp;"&lt;/td&gt;&lt;td&gt;"&amp;V13&amp;"&lt;/td&gt;&lt;td&gt;"&amp;W13&amp;"&lt;/td&gt;&lt;td&gt;"&amp;X13&amp;"&lt;/td&gt;&lt;td&gt;"&amp;TEXT(Y13,"0.00")&amp;"&lt;/td&gt;&lt;td&gt;"&amp;Z13&amp;"&lt;/td&gt;&lt;td&gt;"&amp;TEXT(AA13,"0.00")&amp;"&lt;/td&gt;&lt;/tr&gt;"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4" spans="1:46" x14ac:dyDescent="0.3">
      <c r="A14" t="s">
        <v>37</v>
      </c>
      <c r="O14" s="1">
        <f t="shared" si="0"/>
        <v>0</v>
      </c>
      <c r="Y14" s="1">
        <f t="shared" si="1"/>
        <v>0</v>
      </c>
      <c r="AA14" s="1">
        <f t="shared" si="2"/>
        <v>0</v>
      </c>
      <c r="AC14" t="str">
        <f>"&lt;tr&gt;&lt;td&gt;Sees&lt;/td&gt;&lt;td&gt;"&amp;B14&amp;"&lt;/td&gt;&lt;td&gt;"&amp;C14&amp;"&lt;/td&gt;&lt;td&gt;"&amp;D14&amp;"&lt;/td&gt;&lt;td&gt;"&amp;E14&amp;"&lt;/td&gt;&lt;td&gt;"&amp;F14&amp;"&lt;/td&gt;&lt;td&gt;"&amp;G14&amp;"&lt;/td&gt;&lt;td&gt;"&amp;H14&amp;"&lt;/td&gt;&lt;td&gt;"&amp;I14&amp;"&lt;/td&gt;&lt;td&gt;"&amp;J14&amp;"&lt;/td&gt;&lt;td&gt;"&amp;K14&amp;"&lt;/td&gt;&lt;td&gt;"&amp;L14&amp;"&lt;/td&gt;&lt;td&gt;"&amp;M14&amp;"&lt;/td&gt;&lt;td&gt;"&amp;N14&amp;"&lt;/td&gt;&lt;td&gt;"&amp;TEXT(O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4" t="str">
        <f>"&lt;tr&gt;&lt;td&gt;Sees&lt;/td&gt;&lt;td&gt;"&amp;B14&amp;"&lt;/td&gt;&lt;td&gt;"&amp;P14&amp;"&lt;/td&gt;&lt;td&gt;"&amp;Q14&amp;"&lt;/td&gt;&lt;td&gt;"&amp;R14&amp;"&lt;/td&gt;&lt;td&gt;"&amp;S14&amp;"&lt;/td&gt;&lt;td&gt;"&amp;T14&amp;"&lt;/td&gt;&lt;td&gt;"&amp;U14&amp;"&lt;/td&gt;&lt;td&gt;"&amp;V14&amp;"&lt;/td&gt;&lt;td&gt;"&amp;W14&amp;"&lt;/td&gt;&lt;td&gt;"&amp;X14&amp;"&lt;/td&gt;&lt;td&gt;"&amp;TEXT(Y14,"0.00")&amp;"&lt;/td&gt;&lt;td&gt;"&amp;Z14&amp;"&lt;/td&gt;&lt;td&gt;"&amp;TEXT(AA14,"0.00")&amp;"&lt;/td&gt;&lt;/tr&gt;"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5" spans="1:46" x14ac:dyDescent="0.3">
      <c r="A15" t="s">
        <v>38</v>
      </c>
      <c r="O15" s="1">
        <f t="shared" si="0"/>
        <v>0</v>
      </c>
      <c r="Y15" s="1">
        <f t="shared" si="1"/>
        <v>0</v>
      </c>
      <c r="AA15" s="1">
        <f t="shared" si="2"/>
        <v>0</v>
      </c>
      <c r="AC15" t="str">
        <f>"&lt;tr&gt;&lt;td&gt;Williams&lt;/td&gt;&lt;td&gt;"&amp;B15&amp;"&lt;/td&gt;&lt;td&gt;"&amp;C15&amp;"&lt;/td&gt;&lt;td&gt;"&amp;D15&amp;"&lt;/td&gt;&lt;td&gt;"&amp;E15&amp;"&lt;/td&gt;&lt;td&gt;"&amp;F15&amp;"&lt;/td&gt;&lt;td&gt;"&amp;G15&amp;"&lt;/td&gt;&lt;td&gt;"&amp;H15&amp;"&lt;/td&gt;&lt;td&gt;"&amp;I15&amp;"&lt;/td&gt;&lt;td&gt;"&amp;J15&amp;"&lt;/td&gt;&lt;td&gt;"&amp;K15&amp;"&lt;/td&gt;&lt;td&gt;"&amp;L15&amp;"&lt;/td&gt;&lt;td&gt;"&amp;M15&amp;"&lt;/td&gt;&lt;td&gt;"&amp;N15&amp;"&lt;/td&gt;&lt;td&gt;"&amp;TEXT(O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5" t="str">
        <f>"&lt;tr&gt;&lt;td&gt;Williams&lt;/td&gt;&lt;td&gt;"&amp;B15&amp;"&lt;/td&gt;&lt;td&gt;"&amp;P15&amp;"&lt;/td&gt;&lt;td&gt;"&amp;Q15&amp;"&lt;/td&gt;&lt;td&gt;"&amp;R15&amp;"&lt;/td&gt;&lt;td&gt;"&amp;S15&amp;"&lt;/td&gt;&lt;td&gt;"&amp;T15&amp;"&lt;/td&gt;&lt;td&gt;"&amp;U15&amp;"&lt;/td&gt;&lt;td&gt;"&amp;V15&amp;"&lt;/td&gt;&lt;td&gt;"&amp;W15&amp;"&lt;/td&gt;&lt;td&gt;"&amp;X15&amp;"&lt;/td&gt;&lt;td&gt;"&amp;TEXT(Y15,"0.00")&amp;"&lt;/td&gt;&lt;td&gt;"&amp;Z15&amp;"&lt;/td&gt;&lt;td&gt;"&amp;TEXT(AA15,"0.00")&amp;"&lt;/td&gt;&lt;/tr&gt;"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6" spans="1:46" x14ac:dyDescent="0.3">
      <c r="A16" t="s">
        <v>39</v>
      </c>
      <c r="O16" s="1">
        <f t="shared" si="0"/>
        <v>0</v>
      </c>
      <c r="Y16" s="1">
        <f t="shared" si="1"/>
        <v>0</v>
      </c>
      <c r="AA16" s="1">
        <f t="shared" si="2"/>
        <v>0</v>
      </c>
      <c r="AC16" t="str">
        <f>"&lt;tr&gt;&lt;td&gt;Eggett&lt;/td&gt;&lt;td&gt;"&amp;B16&amp;"&lt;/td&gt;&lt;td&gt;"&amp;C16&amp;"&lt;/td&gt;&lt;td&gt;"&amp;D16&amp;"&lt;/td&gt;&lt;td&gt;"&amp;E16&amp;"&lt;/td&gt;&lt;td&gt;"&amp;F16&amp;"&lt;/td&gt;&lt;td&gt;"&amp;G16&amp;"&lt;/td&gt;&lt;td&gt;"&amp;H16&amp;"&lt;/td&gt;&lt;td&gt;"&amp;I16&amp;"&lt;/td&gt;&lt;td&gt;"&amp;J16&amp;"&lt;/td&gt;&lt;td&gt;"&amp;K16&amp;"&lt;/td&gt;&lt;td&gt;"&amp;L16&amp;"&lt;/td&gt;&lt;td&gt;"&amp;M16&amp;"&lt;/td&gt;&lt;td&gt;"&amp;N16&amp;"&lt;/td&gt;&lt;td&gt;"&amp;TEXT(O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6" t="str">
        <f>"&lt;tr&gt;&lt;td&gt;Eggett&lt;/td&gt;&lt;td&gt;"&amp;B16&amp;"&lt;/td&gt;&lt;td&gt;"&amp;P16&amp;"&lt;/td&gt;&lt;td&gt;"&amp;Q16&amp;"&lt;/td&gt;&lt;td&gt;"&amp;R16&amp;"&lt;/td&gt;&lt;td&gt;"&amp;S16&amp;"&lt;/td&gt;&lt;td&gt;"&amp;T16&amp;"&lt;/td&gt;&lt;td&gt;"&amp;U16&amp;"&lt;/td&gt;&lt;td&gt;"&amp;V16&amp;"&lt;/td&gt;&lt;td&gt;"&amp;W16&amp;"&lt;/td&gt;&lt;td&gt;"&amp;X16&amp;"&lt;/td&gt;&lt;td&gt;"&amp;TEXT(Y16,"0.00")&amp;"&lt;/td&gt;&lt;td&gt;"&amp;Z16&amp;"&lt;/td&gt;&lt;td&gt;"&amp;TEXT(AA16,"0.00")&amp;"&lt;/td&gt;&lt;/tr&gt;"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7" spans="1:46" x14ac:dyDescent="0.3">
      <c r="A17" t="s">
        <v>40</v>
      </c>
      <c r="O17" s="1">
        <f t="shared" si="0"/>
        <v>0</v>
      </c>
      <c r="Y17" s="1">
        <f t="shared" si="1"/>
        <v>0</v>
      </c>
      <c r="AA17" s="1">
        <f t="shared" si="2"/>
        <v>0</v>
      </c>
      <c r="AC17" t="str">
        <f>"&lt;tr&gt;&lt;td&gt;Carpenter&lt;/td&gt;&lt;td&gt;"&amp;B17&amp;"&lt;/td&gt;&lt;td&gt;"&amp;C17&amp;"&lt;/td&gt;&lt;td&gt;"&amp;D17&amp;"&lt;/td&gt;&lt;td&gt;"&amp;E17&amp;"&lt;/td&gt;&lt;td&gt;"&amp;F17&amp;"&lt;/td&gt;&lt;td&gt;"&amp;G17&amp;"&lt;/td&gt;&lt;td&gt;"&amp;H17&amp;"&lt;/td&gt;&lt;td&gt;"&amp;I17&amp;"&lt;/td&gt;&lt;td&gt;"&amp;J17&amp;"&lt;/td&gt;&lt;td&gt;"&amp;K17&amp;"&lt;/td&gt;&lt;td&gt;"&amp;L17&amp;"&lt;/td&gt;&lt;td&gt;"&amp;M17&amp;"&lt;/td&gt;&lt;td&gt;"&amp;N17&amp;"&lt;/td&gt;&lt;td&gt;"&amp;TEXT(O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7" t="str">
        <f>"&lt;tr&gt;&lt;td&gt;Carpenter&lt;/td&gt;&lt;td&gt;"&amp;B17&amp;"&lt;/td&gt;&lt;td&gt;"&amp;P17&amp;"&lt;/td&gt;&lt;td&gt;"&amp;Q17&amp;"&lt;/td&gt;&lt;td&gt;"&amp;R17&amp;"&lt;/td&gt;&lt;td&gt;"&amp;S17&amp;"&lt;/td&gt;&lt;td&gt;"&amp;T17&amp;"&lt;/td&gt;&lt;td&gt;"&amp;U17&amp;"&lt;/td&gt;&lt;td&gt;"&amp;V17&amp;"&lt;/td&gt;&lt;td&gt;"&amp;W17&amp;"&lt;/td&gt;&lt;td&gt;"&amp;X17&amp;"&lt;/td&gt;&lt;td&gt;"&amp;TEXT(Y17,"0.00")&amp;"&lt;/td&gt;&lt;td&gt;"&amp;Z17&amp;"&lt;/td&gt;&lt;td&gt;"&amp;TEXT(AA17,"0.00")&amp;"&lt;/td&gt;&lt;/tr&gt;"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8" spans="1:46" x14ac:dyDescent="0.3">
      <c r="A18" t="s">
        <v>41</v>
      </c>
      <c r="O18" s="1">
        <f t="shared" si="0"/>
        <v>0</v>
      </c>
      <c r="Y18" s="1">
        <f t="shared" si="1"/>
        <v>0</v>
      </c>
      <c r="AA18" s="1">
        <f t="shared" si="2"/>
        <v>0</v>
      </c>
      <c r="AC18" t="str">
        <f>"&lt;tr&gt;&lt;td&gt;Cairone&lt;/td&gt;&lt;td&gt;"&amp;B18&amp;"&lt;/td&gt;&lt;td&gt;"&amp;C18&amp;"&lt;/td&gt;&lt;td&gt;"&amp;D18&amp;"&lt;/td&gt;&lt;td&gt;"&amp;E18&amp;"&lt;/td&gt;&lt;td&gt;"&amp;F18&amp;"&lt;/td&gt;&lt;td&gt;"&amp;G18&amp;"&lt;/td&gt;&lt;td&gt;"&amp;H18&amp;"&lt;/td&gt;&lt;td&gt;"&amp;I18&amp;"&lt;/td&gt;&lt;td&gt;"&amp;J18&amp;"&lt;/td&gt;&lt;td&gt;"&amp;K18&amp;"&lt;/td&gt;&lt;td&gt;"&amp;L18&amp;"&lt;/td&gt;&lt;td&gt;"&amp;M18&amp;"&lt;/td&gt;&lt;td&gt;"&amp;N18&amp;"&lt;/td&gt;&lt;td&gt;"&amp;TEXT(O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8" t="str">
        <f>"&lt;tr&gt;&lt;td&gt;Cairone&lt;/td&gt;&lt;td&gt;"&amp;B18&amp;"&lt;/td&gt;&lt;td&gt;"&amp;P18&amp;"&lt;/td&gt;&lt;td&gt;"&amp;Q18&amp;"&lt;/td&gt;&lt;td&gt;"&amp;R18&amp;"&lt;/td&gt;&lt;td&gt;"&amp;S18&amp;"&lt;/td&gt;&lt;td&gt;"&amp;T18&amp;"&lt;/td&gt;&lt;td&gt;"&amp;U18&amp;"&lt;/td&gt;&lt;td&gt;"&amp;V18&amp;"&lt;/td&gt;&lt;td&gt;"&amp;W18&amp;"&lt;/td&gt;&lt;td&gt;"&amp;X18&amp;"&lt;/td&gt;&lt;td&gt;"&amp;TEXT(Y18,"0.00")&amp;"&lt;/td&gt;&lt;td&gt;"&amp;Z18&amp;"&lt;/td&gt;&lt;td&gt;"&amp;TEXT(AA18,"0.00")&amp;"&lt;/td&gt;&lt;/tr&gt;"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19" spans="1:46" x14ac:dyDescent="0.3">
      <c r="A19" t="s">
        <v>42</v>
      </c>
      <c r="O19" s="1">
        <f t="shared" si="0"/>
        <v>0</v>
      </c>
      <c r="Y19" s="1">
        <f t="shared" si="1"/>
        <v>0</v>
      </c>
      <c r="AA19" s="1">
        <f t="shared" si="2"/>
        <v>0</v>
      </c>
      <c r="AC19" t="str">
        <f>"&lt;tr&gt;&lt;td&gt;Lewis&lt;/td&gt;&lt;td&gt;"&amp;B19&amp;"&lt;/td&gt;&lt;td&gt;"&amp;C19&amp;"&lt;/td&gt;&lt;td&gt;"&amp;D19&amp;"&lt;/td&gt;&lt;td&gt;"&amp;E19&amp;"&lt;/td&gt;&lt;td&gt;"&amp;F19&amp;"&lt;/td&gt;&lt;td&gt;"&amp;G19&amp;"&lt;/td&gt;&lt;td&gt;"&amp;H19&amp;"&lt;/td&gt;&lt;td&gt;"&amp;I19&amp;"&lt;/td&gt;&lt;td&gt;"&amp;J19&amp;"&lt;/td&gt;&lt;td&gt;"&amp;K19&amp;"&lt;/td&gt;&lt;td&gt;"&amp;L19&amp;"&lt;/td&gt;&lt;td&gt;"&amp;M19&amp;"&lt;/td&gt;&lt;td&gt;"&amp;N19&amp;"&lt;/td&gt;&lt;td&gt;"&amp;TEXT(O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19" t="str">
        <f>"&lt;tr&gt;&lt;td&gt;Lewis&lt;/td&gt;&lt;td&gt;"&amp;B19&amp;"&lt;/td&gt;&lt;td&gt;"&amp;P19&amp;"&lt;/td&gt;&lt;td&gt;"&amp;Q19&amp;"&lt;/td&gt;&lt;td&gt;"&amp;R19&amp;"&lt;/td&gt;&lt;td&gt;"&amp;S19&amp;"&lt;/td&gt;&lt;td&gt;"&amp;T19&amp;"&lt;/td&gt;&lt;td&gt;"&amp;U19&amp;"&lt;/td&gt;&lt;td&gt;"&amp;V19&amp;"&lt;/td&gt;&lt;td&gt;"&amp;W19&amp;"&lt;/td&gt;&lt;td&gt;"&amp;X19&amp;"&lt;/td&gt;&lt;td&gt;"&amp;TEXT(Y19,"0.00")&amp;"&lt;/td&gt;&lt;td&gt;"&amp;Z19&amp;"&lt;/td&gt;&lt;td&gt;"&amp;TEXT(AA19,"0.00")&amp;"&lt;/td&gt;&lt;/tr&gt;"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0" spans="1:46" x14ac:dyDescent="0.3">
      <c r="A20" t="s">
        <v>43</v>
      </c>
      <c r="O20" s="1">
        <f t="shared" si="0"/>
        <v>0</v>
      </c>
      <c r="Y20" s="1">
        <f t="shared" si="1"/>
        <v>0</v>
      </c>
      <c r="AA20" s="1">
        <f t="shared" si="2"/>
        <v>0</v>
      </c>
      <c r="AC20" t="str">
        <f>"&lt;tr&gt;&lt;td&gt;Miller&lt;/td&gt;&lt;td&gt;"&amp;B20&amp;"&lt;/td&gt;&lt;td&gt;"&amp;C20&amp;"&lt;/td&gt;&lt;td&gt;"&amp;D20&amp;"&lt;/td&gt;&lt;td&gt;"&amp;E20&amp;"&lt;/td&gt;&lt;td&gt;"&amp;F20&amp;"&lt;/td&gt;&lt;td&gt;"&amp;G20&amp;"&lt;/td&gt;&lt;td&gt;"&amp;H20&amp;"&lt;/td&gt;&lt;td&gt;"&amp;I20&amp;"&lt;/td&gt;&lt;td&gt;"&amp;J20&amp;"&lt;/td&gt;&lt;td&gt;"&amp;K20&amp;"&lt;/td&gt;&lt;td&gt;"&amp;L20&amp;"&lt;/td&gt;&lt;td&gt;"&amp;M20&amp;"&lt;/td&gt;&lt;td&gt;"&amp;N20&amp;"&lt;/td&gt;&lt;td&gt;"&amp;TEXT(O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0" t="str">
        <f>"&lt;tr&gt;&lt;td&gt;Miller&lt;/td&gt;&lt;td&gt;"&amp;B20&amp;"&lt;/td&gt;&lt;td&gt;"&amp;P20&amp;"&lt;/td&gt;&lt;td&gt;"&amp;Q20&amp;"&lt;/td&gt;&lt;td&gt;"&amp;R20&amp;"&lt;/td&gt;&lt;td&gt;"&amp;S20&amp;"&lt;/td&gt;&lt;td&gt;"&amp;T20&amp;"&lt;/td&gt;&lt;td&gt;"&amp;U20&amp;"&lt;/td&gt;&lt;td&gt;"&amp;V20&amp;"&lt;/td&gt;&lt;td&gt;"&amp;W20&amp;"&lt;/td&gt;&lt;td&gt;"&amp;X20&amp;"&lt;/td&gt;&lt;td&gt;"&amp;TEXT(Y20,"0.00")&amp;"&lt;/td&gt;&lt;td&gt;"&amp;Z20&amp;"&lt;/td&gt;&lt;td&gt;"&amp;TEXT(AA20,"0.00")&amp;"&lt;/td&gt;&lt;/tr&gt;"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1" spans="1:46" x14ac:dyDescent="0.3">
      <c r="A21" t="s">
        <v>44</v>
      </c>
      <c r="O21" s="1">
        <f t="shared" si="0"/>
        <v>0</v>
      </c>
      <c r="Y21" s="1">
        <f t="shared" si="1"/>
        <v>0</v>
      </c>
      <c r="AA21" s="1">
        <f t="shared" si="2"/>
        <v>0</v>
      </c>
      <c r="AC21" t="str">
        <f>"&lt;tr&gt;&lt;td&gt;Snowden&lt;/td&gt;&lt;td&gt;"&amp;B21&amp;"&lt;/td&gt;&lt;td&gt;"&amp;C21&amp;"&lt;/td&gt;&lt;td&gt;"&amp;D21&amp;"&lt;/td&gt;&lt;td&gt;"&amp;E21&amp;"&lt;/td&gt;&lt;td&gt;"&amp;F21&amp;"&lt;/td&gt;&lt;td&gt;"&amp;G21&amp;"&lt;/td&gt;&lt;td&gt;"&amp;H21&amp;"&lt;/td&gt;&lt;td&gt;"&amp;I21&amp;"&lt;/td&gt;&lt;td&gt;"&amp;J21&amp;"&lt;/td&gt;&lt;td&gt;"&amp;K21&amp;"&lt;/td&gt;&lt;td&gt;"&amp;L21&amp;"&lt;/td&gt;&lt;td&gt;"&amp;M21&amp;"&lt;/td&gt;&lt;td&gt;"&amp;N21&amp;"&lt;/td&gt;&lt;td&gt;"&amp;TEXT(O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1" t="str">
        <f>"&lt;tr&gt;&lt;td&gt;Snowden&lt;/td&gt;&lt;td&gt;"&amp;B21&amp;"&lt;/td&gt;&lt;td&gt;"&amp;P21&amp;"&lt;/td&gt;&lt;td&gt;"&amp;Q21&amp;"&lt;/td&gt;&lt;td&gt;"&amp;R21&amp;"&lt;/td&gt;&lt;td&gt;"&amp;S21&amp;"&lt;/td&gt;&lt;td&gt;"&amp;T21&amp;"&lt;/td&gt;&lt;td&gt;"&amp;U21&amp;"&lt;/td&gt;&lt;td&gt;"&amp;V21&amp;"&lt;/td&gt;&lt;td&gt;"&amp;W21&amp;"&lt;/td&gt;&lt;td&gt;"&amp;X21&amp;"&lt;/td&gt;&lt;td&gt;"&amp;TEXT(Y21,"0.00")&amp;"&lt;/td&gt;&lt;td&gt;"&amp;Z21&amp;"&lt;/td&gt;&lt;td&gt;"&amp;TEXT(AA21,"0.00")&amp;"&lt;/td&gt;&lt;/tr&gt;"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2" spans="1:46" x14ac:dyDescent="0.3">
      <c r="A22" t="s">
        <v>45</v>
      </c>
      <c r="O22" s="1">
        <f t="shared" si="0"/>
        <v>0</v>
      </c>
      <c r="Y22" s="1">
        <f t="shared" si="1"/>
        <v>0</v>
      </c>
      <c r="AA22" s="1">
        <f t="shared" si="2"/>
        <v>0</v>
      </c>
      <c r="AC22" t="str">
        <f>"&lt;tr&gt;&lt;td&gt;Borer&lt;/td&gt;&lt;td&gt;"&amp;B22&amp;"&lt;/td&gt;&lt;td&gt;"&amp;C22&amp;"&lt;/td&gt;&lt;td&gt;"&amp;D22&amp;"&lt;/td&gt;&lt;td&gt;"&amp;E22&amp;"&lt;/td&gt;&lt;td&gt;"&amp;F22&amp;"&lt;/td&gt;&lt;td&gt;"&amp;G22&amp;"&lt;/td&gt;&lt;td&gt;"&amp;H22&amp;"&lt;/td&gt;&lt;td&gt;"&amp;I22&amp;"&lt;/td&gt;&lt;td&gt;"&amp;J22&amp;"&lt;/td&gt;&lt;td&gt;"&amp;K22&amp;"&lt;/td&gt;&lt;td&gt;"&amp;L22&amp;"&lt;/td&gt;&lt;td&gt;"&amp;M22&amp;"&lt;/td&gt;&lt;td&gt;"&amp;N22&amp;"&lt;/td&gt;&lt;td&gt;"&amp;TEXT(O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2" t="str">
        <f>"&lt;tr&gt;&lt;td&gt;Borer&lt;/td&gt;&lt;td&gt;"&amp;B22&amp;"&lt;/td&gt;&lt;td&gt;"&amp;P22&amp;"&lt;/td&gt;&lt;td&gt;"&amp;Q22&amp;"&lt;/td&gt;&lt;td&gt;"&amp;R22&amp;"&lt;/td&gt;&lt;td&gt;"&amp;S22&amp;"&lt;/td&gt;&lt;td&gt;"&amp;T22&amp;"&lt;/td&gt;&lt;td&gt;"&amp;U22&amp;"&lt;/td&gt;&lt;td&gt;"&amp;V22&amp;"&lt;/td&gt;&lt;td&gt;"&amp;W22&amp;"&lt;/td&gt;&lt;td&gt;"&amp;X22&amp;"&lt;/td&gt;&lt;td&gt;"&amp;TEXT(Y22,"0.00")&amp;"&lt;/td&gt;&lt;td&gt;"&amp;Z22&amp;"&lt;/td&gt;&lt;td&gt;"&amp;TEXT(AA22,"0.00")&amp;"&lt;/td&gt;&lt;/tr&gt;"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3" spans="1:46" x14ac:dyDescent="0.3">
      <c r="A23" t="s">
        <v>46</v>
      </c>
      <c r="O23" s="1">
        <f t="shared" si="0"/>
        <v>0</v>
      </c>
      <c r="Y23" s="1">
        <f t="shared" si="1"/>
        <v>0</v>
      </c>
      <c r="AA23" s="1">
        <f t="shared" si="2"/>
        <v>0</v>
      </c>
      <c r="AC23" t="str">
        <f>"&lt;tr&gt;&lt;td&gt;Sato&lt;/td&gt;&lt;td&gt;"&amp;B23&amp;"&lt;/td&gt;&lt;td&gt;"&amp;C23&amp;"&lt;/td&gt;&lt;td&gt;"&amp;D23&amp;"&lt;/td&gt;&lt;td&gt;"&amp;E23&amp;"&lt;/td&gt;&lt;td&gt;"&amp;F23&amp;"&lt;/td&gt;&lt;td&gt;"&amp;G23&amp;"&lt;/td&gt;&lt;td&gt;"&amp;H23&amp;"&lt;/td&gt;&lt;td&gt;"&amp;I23&amp;"&lt;/td&gt;&lt;td&gt;"&amp;J23&amp;"&lt;/td&gt;&lt;td&gt;"&amp;K23&amp;"&lt;/td&gt;&lt;td&gt;"&amp;L23&amp;"&lt;/td&gt;&lt;td&gt;"&amp;M23&amp;"&lt;/td&gt;&lt;td&gt;"&amp;N23&amp;"&lt;/td&gt;&lt;td&gt;"&amp;TEXT(O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3" t="str">
        <f>"&lt;tr&gt;&lt;td&gt;Sato&lt;/td&gt;&lt;td&gt;"&amp;B23&amp;"&lt;/td&gt;&lt;td&gt;"&amp;P23&amp;"&lt;/td&gt;&lt;td&gt;"&amp;Q23&amp;"&lt;/td&gt;&lt;td&gt;"&amp;R23&amp;"&lt;/td&gt;&lt;td&gt;"&amp;S23&amp;"&lt;/td&gt;&lt;td&gt;"&amp;T23&amp;"&lt;/td&gt;&lt;td&gt;"&amp;U23&amp;"&lt;/td&gt;&lt;td&gt;"&amp;V23&amp;"&lt;/td&gt;&lt;td&gt;"&amp;W23&amp;"&lt;/td&gt;&lt;td&gt;"&amp;X23&amp;"&lt;/td&gt;&lt;td&gt;"&amp;TEXT(Y23,"0.00")&amp;"&lt;/td&gt;&lt;td&gt;"&amp;Z23&amp;"&lt;/td&gt;&lt;td&gt;"&amp;TEXT(AA23,"0.00")&amp;"&lt;/td&gt;&lt;/tr&gt;"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4" spans="1:46" x14ac:dyDescent="0.3">
      <c r="A24" t="s">
        <v>47</v>
      </c>
      <c r="O24" s="1">
        <f t="shared" si="0"/>
        <v>0</v>
      </c>
      <c r="Y24" s="1">
        <f t="shared" si="1"/>
        <v>0</v>
      </c>
      <c r="AA24" s="1">
        <f t="shared" si="2"/>
        <v>0</v>
      </c>
      <c r="AC24" t="str">
        <f>"&lt;tr&gt;&lt;td&gt;Sant&lt;/td&gt;&lt;td&gt;"&amp;B24&amp;"&lt;/td&gt;&lt;td&gt;"&amp;C24&amp;"&lt;/td&gt;&lt;td&gt;"&amp;D24&amp;"&lt;/td&gt;&lt;td&gt;"&amp;E24&amp;"&lt;/td&gt;&lt;td&gt;"&amp;F24&amp;"&lt;/td&gt;&lt;td&gt;"&amp;G24&amp;"&lt;/td&gt;&lt;td&gt;"&amp;H24&amp;"&lt;/td&gt;&lt;td&gt;"&amp;I24&amp;"&lt;/td&gt;&lt;td&gt;"&amp;J24&amp;"&lt;/td&gt;&lt;td&gt;"&amp;K24&amp;"&lt;/td&gt;&lt;td&gt;"&amp;L24&amp;"&lt;/td&gt;&lt;td&gt;"&amp;M24&amp;"&lt;/td&gt;&lt;td&gt;"&amp;N24&amp;"&lt;/td&gt;&lt;td&gt;"&amp;TEXT(O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  <c r="AT24" t="str">
        <f>"&lt;tr&gt;&lt;td&gt;Sant&lt;/td&gt;&lt;td&gt;"&amp;B24&amp;"&lt;/td&gt;&lt;td&gt;"&amp;P24&amp;"&lt;/td&gt;&lt;td&gt;"&amp;Q24&amp;"&lt;/td&gt;&lt;td&gt;"&amp;R24&amp;"&lt;/td&gt;&lt;td&gt;"&amp;S24&amp;"&lt;/td&gt;&lt;td&gt;"&amp;T24&amp;"&lt;/td&gt;&lt;td&gt;"&amp;U24&amp;"&lt;/td&gt;&lt;td&gt;"&amp;V24&amp;"&lt;/td&gt;&lt;td&gt;"&amp;W24&amp;"&lt;/td&gt;&lt;td&gt;"&amp;X24&amp;"&lt;/td&gt;&lt;td&gt;"&amp;TEXT(Y24,"0.00")&amp;"&lt;/td&gt;&lt;td&gt;"&amp;Z24&amp;"&lt;/td&gt;&lt;td&gt;"&amp;TEXT(AA24,"0.00")&amp;"&lt;/td&gt;&lt;/tr&gt;"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6" spans="1:46" x14ac:dyDescent="0.3">
      <c r="A26" t="str">
        <f>AC4</f>
        <v>&lt;tr&gt;&lt;td&gt;Makovick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7" spans="1:46" x14ac:dyDescent="0.3">
      <c r="A27" t="str">
        <f>AC15</f>
        <v>&lt;tr&gt;&lt;td&gt;William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8" spans="1:46" x14ac:dyDescent="0.3">
      <c r="A28" t="str">
        <f>AC9</f>
        <v>&lt;tr&gt;&lt;td&gt;Guyo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29" spans="1:46" x14ac:dyDescent="0.3">
      <c r="A29" t="str">
        <f>AC24</f>
        <v>&lt;tr&gt;&lt;td&gt;San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0" spans="1:46" x14ac:dyDescent="0.3">
      <c r="A30" t="str">
        <f>AC12</f>
        <v>&lt;tr&gt;&lt;td&gt;Re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1" spans="1:46" x14ac:dyDescent="0.3">
      <c r="A31" t="str">
        <f>AC22</f>
        <v>&lt;tr&gt;&lt;td&gt;Bor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2" spans="1:46" x14ac:dyDescent="0.3">
      <c r="A32" t="str">
        <f>AC3</f>
        <v>&lt;tr&gt;&lt;td&gt;Gerane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3" spans="1:1" x14ac:dyDescent="0.3">
      <c r="A33" t="str">
        <f>AC7</f>
        <v>&lt;tr&gt;&lt;td&gt;Donnell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4" spans="1:1" x14ac:dyDescent="0.3">
      <c r="A34" t="str">
        <f>AC8</f>
        <v>&lt;tr&gt;&lt;td&gt;Drozda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5" spans="1:1" x14ac:dyDescent="0.3">
      <c r="A35" t="str">
        <f>AC23</f>
        <v>&lt;tr&gt;&lt;td&gt;Sato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6" spans="1:1" x14ac:dyDescent="0.3">
      <c r="A36" t="str">
        <f>AC20</f>
        <v>&lt;tr&gt;&lt;td&gt;Mill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7" spans="1:1" x14ac:dyDescent="0.3">
      <c r="A37" t="str">
        <f>AC14</f>
        <v>&lt;tr&gt;&lt;td&gt;Se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8" spans="1:1" x14ac:dyDescent="0.3">
      <c r="A38" t="str">
        <f>AC21</f>
        <v>&lt;tr&gt;&lt;td&gt;Snowden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39" spans="1:1" x14ac:dyDescent="0.3">
      <c r="A39" t="str">
        <f>AC11</f>
        <v>&lt;tr&gt;&lt;td&gt;Prososki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0" spans="1:1" x14ac:dyDescent="0.3">
      <c r="A40" t="str">
        <f>AC13</f>
        <v>&lt;tr&gt;&lt;td&gt;Kis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1" spans="1:1" x14ac:dyDescent="0.3">
      <c r="A41" t="str">
        <f>AC5</f>
        <v>&lt;tr&gt;&lt;td&gt;Bohonek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2" spans="1:1" x14ac:dyDescent="0.3">
      <c r="A42" t="str">
        <f>AC10</f>
        <v>&lt;tr&gt;&lt;td&gt;Rudney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3" spans="1:1" x14ac:dyDescent="0.3">
      <c r="A43" t="str">
        <f>AC2</f>
        <v>&lt;tr&gt;&lt;td&gt;Jone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4" spans="1:1" x14ac:dyDescent="0.3">
      <c r="A44" t="str">
        <f>AC19</f>
        <v>&lt;tr&gt;&lt;td&gt;Lewis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5" spans="1:1" x14ac:dyDescent="0.3">
      <c r="A45" t="str">
        <f>AC17</f>
        <v>&lt;tr&gt;&lt;td&gt;Carpenter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6" spans="1:1" x14ac:dyDescent="0.3">
      <c r="A46" t="str">
        <f>AC18</f>
        <v>&lt;tr&gt;&lt;td&gt;Cairone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7" spans="1:1" x14ac:dyDescent="0.3">
      <c r="A47" t="str">
        <f>AC16</f>
        <v>&lt;tr&gt;&lt;td&gt;Eggett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48" spans="1:1" x14ac:dyDescent="0.3">
      <c r="A48" t="str">
        <f>AC6</f>
        <v>&lt;tr&gt;&lt;td&gt;Wistrom&lt;/td&gt;&lt;td&gt;&lt;/td&gt;&lt;td&gt;&lt;/td&gt;&lt;td&gt;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0" spans="1:1" x14ac:dyDescent="0.3">
      <c r="A50" t="str">
        <f>AT4</f>
        <v>&lt;tr&gt;&lt;td&gt;Makovick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1" spans="1:1" x14ac:dyDescent="0.3">
      <c r="A51" t="str">
        <f>AT15</f>
        <v>&lt;tr&gt;&lt;td&gt;William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2" spans="1:1" x14ac:dyDescent="0.3">
      <c r="A52" t="str">
        <f>AT9</f>
        <v>&lt;tr&gt;&lt;td&gt;Guyo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3" spans="1:1" x14ac:dyDescent="0.3">
      <c r="A53" t="str">
        <f>AT24</f>
        <v>&lt;tr&gt;&lt;td&gt;San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4" spans="1:1" x14ac:dyDescent="0.3">
      <c r="A54" t="str">
        <f>AT12</f>
        <v>&lt;tr&gt;&lt;td&gt;Re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5" spans="1:1" x14ac:dyDescent="0.3">
      <c r="A55" t="str">
        <f>AT22</f>
        <v>&lt;tr&gt;&lt;td&gt;Bor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6" spans="1:1" x14ac:dyDescent="0.3">
      <c r="A56" t="str">
        <f>AT3</f>
        <v>&lt;tr&gt;&lt;td&gt;Gerane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7" spans="1:1" x14ac:dyDescent="0.3">
      <c r="A57" t="str">
        <f>AT7</f>
        <v>&lt;tr&gt;&lt;td&gt;Donnell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8" spans="1:1" x14ac:dyDescent="0.3">
      <c r="A58" t="str">
        <f>AT8</f>
        <v>&lt;tr&gt;&lt;td&gt;Drozda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59" spans="1:1" x14ac:dyDescent="0.3">
      <c r="A59" t="str">
        <f>AT23</f>
        <v>&lt;tr&gt;&lt;td&gt;Sato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0" spans="1:1" x14ac:dyDescent="0.3">
      <c r="A60" t="str">
        <f>AT20</f>
        <v>&lt;tr&gt;&lt;td&gt;Mill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1" spans="1:1" x14ac:dyDescent="0.3">
      <c r="A61" t="str">
        <f>AT14</f>
        <v>&lt;tr&gt;&lt;td&gt;Se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2" spans="1:1" x14ac:dyDescent="0.3">
      <c r="A62" t="str">
        <f>AT21</f>
        <v>&lt;tr&gt;&lt;td&gt;Snowden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3" spans="1:1" x14ac:dyDescent="0.3">
      <c r="A63" t="str">
        <f>AT11</f>
        <v>&lt;tr&gt;&lt;td&gt;Prososki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4" spans="1:1" x14ac:dyDescent="0.3">
      <c r="A64" t="str">
        <f>AT13</f>
        <v>&lt;tr&gt;&lt;td&gt;Kis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5" spans="1:23" x14ac:dyDescent="0.3">
      <c r="A65" t="str">
        <f>AT5</f>
        <v>&lt;tr&gt;&lt;td&gt;Bohonek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6" spans="1:23" x14ac:dyDescent="0.3">
      <c r="A66" t="str">
        <f>AT10</f>
        <v>&lt;tr&gt;&lt;td&gt;Rudney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7" spans="1:23" x14ac:dyDescent="0.3">
      <c r="A67" t="str">
        <f>AT2</f>
        <v>&lt;tr&gt;&lt;td&gt;Jone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8" spans="1:23" x14ac:dyDescent="0.3">
      <c r="A68" t="str">
        <f>AT19</f>
        <v>&lt;tr&gt;&lt;td&gt;Lewis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69" spans="1:23" x14ac:dyDescent="0.3">
      <c r="A69" t="str">
        <f>AT17</f>
        <v>&lt;tr&gt;&lt;td&gt;Carpenter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0" spans="1:23" x14ac:dyDescent="0.3">
      <c r="A70" t="str">
        <f>AT18</f>
        <v>&lt;tr&gt;&lt;td&gt;Cairone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1" spans="1:23" x14ac:dyDescent="0.3">
      <c r="A71" t="str">
        <f>AT16</f>
        <v>&lt;tr&gt;&lt;td&gt;Eggett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2" spans="1:23" x14ac:dyDescent="0.3">
      <c r="A72" t="str">
        <f>AT6</f>
        <v>&lt;tr&gt;&lt;td&gt;Wistrom&lt;/td&gt;&lt;td&gt;&lt;/td&gt;&lt;td&gt;&lt;/td&gt;&lt;td&gt;&lt;/td&gt;&lt;td&gt;&lt;/td&gt;&lt;td&gt;&lt;/td&gt;&lt;td&gt;&lt;/td&gt;&lt;td&gt;&lt;/td&gt;&lt;td&gt;&lt;/td&gt;&lt;td&gt;&lt;/td&gt;&lt;td&gt;&lt;/td&gt;&lt;td&gt;0.00&lt;/td&gt;&lt;td&gt;&lt;/td&gt;&lt;td&gt;0.00&lt;/td&gt;&lt;/tr&gt;</v>
      </c>
    </row>
    <row r="74" spans="1:23" x14ac:dyDescent="0.3">
      <c r="A74" t="s">
        <v>27</v>
      </c>
      <c r="B74" t="s">
        <v>38</v>
      </c>
      <c r="C74" t="s">
        <v>32</v>
      </c>
      <c r="D74" t="s">
        <v>47</v>
      </c>
      <c r="E74" t="s">
        <v>35</v>
      </c>
      <c r="F74" t="s">
        <v>45</v>
      </c>
      <c r="G74" t="s">
        <v>26</v>
      </c>
      <c r="H74" t="s">
        <v>50</v>
      </c>
      <c r="I74" t="s">
        <v>51</v>
      </c>
      <c r="J74" t="s">
        <v>46</v>
      </c>
      <c r="K74" t="s">
        <v>43</v>
      </c>
      <c r="L74" t="s">
        <v>37</v>
      </c>
      <c r="M74" t="s">
        <v>52</v>
      </c>
      <c r="N74" t="s">
        <v>34</v>
      </c>
      <c r="O74" t="s">
        <v>36</v>
      </c>
      <c r="P74" t="s">
        <v>28</v>
      </c>
      <c r="Q74" t="s">
        <v>33</v>
      </c>
      <c r="R74" t="s">
        <v>25</v>
      </c>
      <c r="S74" t="s">
        <v>53</v>
      </c>
      <c r="T74" t="s">
        <v>40</v>
      </c>
      <c r="U74" t="s">
        <v>41</v>
      </c>
      <c r="V74" t="s">
        <v>39</v>
      </c>
      <c r="W74" t="s">
        <v>29</v>
      </c>
    </row>
    <row r="75" spans="1:23" x14ac:dyDescent="0.3">
      <c r="A75" s="2" t="s">
        <v>54</v>
      </c>
      <c r="B75" s="2" t="s">
        <v>54</v>
      </c>
      <c r="C75" s="2" t="s">
        <v>54</v>
      </c>
      <c r="D75" s="2" t="s">
        <v>54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54</v>
      </c>
    </row>
    <row r="76" spans="1:23" x14ac:dyDescent="0.3">
      <c r="A76" t="str">
        <f>"minutes: "&amp;$B$4&amp;","</f>
        <v>minutes: ,</v>
      </c>
      <c r="B76" t="str">
        <f>"minutes: "&amp;$B$15&amp;","</f>
        <v>minutes: ,</v>
      </c>
      <c r="C76" t="str">
        <f>"minutes: "&amp;$B$9&amp;","</f>
        <v>minutes: ,</v>
      </c>
      <c r="D76" t="str">
        <f>"minutes: "&amp;$B$24&amp;","</f>
        <v>minutes: ,</v>
      </c>
      <c r="E76" t="str">
        <f>"minutes: "&amp;$B$12&amp;","</f>
        <v>minutes: ,</v>
      </c>
      <c r="F76" t="str">
        <f>"minutes: "&amp;$B$22&amp;","</f>
        <v>minutes: ,</v>
      </c>
      <c r="G76" t="str">
        <f>"minutes: "&amp;$B$3&amp;","</f>
        <v>minutes: ,</v>
      </c>
      <c r="H76" t="str">
        <f>"minutes: "&amp;$B$7&amp;","</f>
        <v>minutes: ,</v>
      </c>
      <c r="I76" t="str">
        <f>"minutes: "&amp;$B$8&amp;","</f>
        <v>minutes: ,</v>
      </c>
      <c r="J76" t="str">
        <f>"minutes: "&amp;$B$23&amp;","</f>
        <v>minutes: ,</v>
      </c>
      <c r="K76" t="str">
        <f>"minutes: "&amp;$B$20&amp;","</f>
        <v>minutes: ,</v>
      </c>
      <c r="L76" t="str">
        <f>"minutes: "&amp;$B$14&amp;","</f>
        <v>minutes: ,</v>
      </c>
      <c r="M76" t="str">
        <f>"minutes: "&amp;$B$21&amp;","</f>
        <v>minutes: ,</v>
      </c>
      <c r="N76" t="str">
        <f>"minutes: "&amp;$B$11&amp;","</f>
        <v>minutes: ,</v>
      </c>
      <c r="O76" t="str">
        <f>"minutes: "&amp;$B$13&amp;","</f>
        <v>minutes: ,</v>
      </c>
      <c r="P76" t="str">
        <f>"minutes: "&amp;$B$5&amp;","</f>
        <v>minutes: ,</v>
      </c>
      <c r="Q76" t="str">
        <f>"minutes: "&amp;$B$10&amp;","</f>
        <v>minutes: ,</v>
      </c>
      <c r="R76" t="str">
        <f>"minutes: "&amp;$B$2&amp;","</f>
        <v>minutes: ,</v>
      </c>
      <c r="S76" t="str">
        <f>"minutes: "&amp;$B$19&amp;","</f>
        <v>minutes: ,</v>
      </c>
      <c r="T76" t="str">
        <f>"minutes: "&amp;$B$17&amp;","</f>
        <v>minutes: ,</v>
      </c>
      <c r="U76" t="str">
        <f>"minutes: "&amp;$B$18&amp;","</f>
        <v>minutes: ,</v>
      </c>
      <c r="V76" t="str">
        <f>"minutes: "&amp;$B$16&amp;","</f>
        <v>minutes: ,</v>
      </c>
      <c r="W76" t="str">
        <f>"minutes: "&amp;$B$6&amp;","</f>
        <v>minutes: ,</v>
      </c>
    </row>
    <row r="77" spans="1:23" x14ac:dyDescent="0.3">
      <c r="A77" t="str">
        <f>"totalActions: "&amp;$Z$4&amp;","</f>
        <v>totalActions: ,</v>
      </c>
      <c r="B77" t="str">
        <f>"totalActions: "&amp;$Z$15&amp;","</f>
        <v>totalActions: ,</v>
      </c>
      <c r="C77" t="str">
        <f>"totalActions: "&amp;$Z$9&amp;","</f>
        <v>totalActions: ,</v>
      </c>
      <c r="D77" t="str">
        <f>"totalActions: "&amp;$Z$24&amp;","</f>
        <v>totalActions: ,</v>
      </c>
      <c r="E77" t="str">
        <f>"totalActions: "&amp;$Z$12&amp;","</f>
        <v>totalActions: ,</v>
      </c>
      <c r="F77" t="str">
        <f>"totalActions: "&amp;$Z$22&amp;","</f>
        <v>totalActions: ,</v>
      </c>
      <c r="G77" t="str">
        <f>"totalActions: "&amp;$Z$3&amp;","</f>
        <v>totalActions: ,</v>
      </c>
      <c r="H77" t="str">
        <f>"totalActions: "&amp;$Z$7&amp;","</f>
        <v>totalActions: ,</v>
      </c>
      <c r="I77" t="str">
        <f>"totalActions: "&amp;$Z$8&amp;","</f>
        <v>totalActions: ,</v>
      </c>
      <c r="J77" t="str">
        <f>"totalActions: "&amp;$Z$23&amp;","</f>
        <v>totalActions: ,</v>
      </c>
      <c r="K77" t="str">
        <f>"totalActions: "&amp;$Z$20&amp;","</f>
        <v>totalActions: ,</v>
      </c>
      <c r="L77" t="str">
        <f>"totalActions: "&amp;$Z$14&amp;","</f>
        <v>totalActions: ,</v>
      </c>
      <c r="M77" t="str">
        <f>"totalActions: "&amp;$Z$21&amp;","</f>
        <v>totalActions: ,</v>
      </c>
      <c r="N77" t="str">
        <f>"totalActions: "&amp;$Z$11&amp;","</f>
        <v>totalActions: ,</v>
      </c>
      <c r="O77" t="str">
        <f>"totalActions: "&amp;$Z$13&amp;","</f>
        <v>totalActions: ,</v>
      </c>
      <c r="P77" t="str">
        <f>"totalActions: "&amp;$Z$5&amp;","</f>
        <v>totalActions: ,</v>
      </c>
      <c r="Q77" t="str">
        <f>"totalActions: "&amp;$Z$10&amp;","</f>
        <v>totalActions: ,</v>
      </c>
      <c r="R77" t="str">
        <f>"totalActions: "&amp;$Z$2&amp;","</f>
        <v>totalActions: ,</v>
      </c>
      <c r="S77" t="str">
        <f>"totalActions: "&amp;$Z$19&amp;","</f>
        <v>totalActions: ,</v>
      </c>
      <c r="T77" t="str">
        <f>"totalActions: "&amp;$Z$17&amp;","</f>
        <v>totalActions: ,</v>
      </c>
      <c r="U77" t="str">
        <f>"totalActions: "&amp;$Z$18&amp;","</f>
        <v>totalActions: ,</v>
      </c>
      <c r="V77" t="str">
        <f>"totalActions: "&amp;$Z$16&amp;","</f>
        <v>totalActions: ,</v>
      </c>
      <c r="W77" t="str">
        <f>"totalActions: "&amp;$Z$6&amp;","</f>
        <v>totalActions: ,</v>
      </c>
    </row>
    <row r="78" spans="1:23" x14ac:dyDescent="0.3">
      <c r="A78" t="str">
        <f>"actionsPerMinute: "&amp;TEXT($AA$4,"0.00")&amp;","</f>
        <v>actionsPerMinute: 0.00,</v>
      </c>
      <c r="B78" t="str">
        <f>"actionsPerMinute: "&amp;TEXT($AA$15,"0.00")&amp;","</f>
        <v>actionsPerMinute: 0.00,</v>
      </c>
      <c r="C78" t="str">
        <f>"actionsPerMinute: "&amp;TEXT($AA$9,"0.00")&amp;","</f>
        <v>actionsPerMinute: 0.00,</v>
      </c>
      <c r="D78" t="str">
        <f>"actionsPerMinute: "&amp;TEXT($AA$24,"0.00")&amp;","</f>
        <v>actionsPerMinute: 0.00,</v>
      </c>
      <c r="E78" t="str">
        <f>"actionsPerMinute: "&amp;TEXT($AA$12,"0.00")&amp;","</f>
        <v>actionsPerMinute: 0.00,</v>
      </c>
      <c r="F78" t="str">
        <f>"actionsPerMinute: "&amp;TEXT($AA$22,"0.00")&amp;","</f>
        <v>actionsPerMinute: 0.00,</v>
      </c>
      <c r="G78" t="str">
        <f>"actionsPerMinute: "&amp;TEXT($AA$3,"0.00")&amp;","</f>
        <v>actionsPerMinute: 0.00,</v>
      </c>
      <c r="H78" t="str">
        <f>"actionsPerMinute: "&amp;TEXT($AA$7,"0.00")&amp;","</f>
        <v>actionsPerMinute: 0.00,</v>
      </c>
      <c r="I78" t="str">
        <f>"actionsPerMinute: "&amp;TEXT($AA$8,"0.00")&amp;","</f>
        <v>actionsPerMinute: 0.00,</v>
      </c>
      <c r="J78" t="str">
        <f>"actionsPerMinute: "&amp;TEXT($AA$23,"0.00")&amp;","</f>
        <v>actionsPerMinute: 0.00,</v>
      </c>
      <c r="K78" t="str">
        <f>"actionsPerMinute: "&amp;TEXT($AA$20,"0.00")&amp;","</f>
        <v>actionsPerMinute: 0.00,</v>
      </c>
      <c r="L78" t="str">
        <f>"actionsPerMinute: "&amp;TEXT($AA$14,"0.00")&amp;","</f>
        <v>actionsPerMinute: 0.00,</v>
      </c>
      <c r="M78" t="str">
        <f>"actionsPerMinute: "&amp;TEXT($AA$21,"0.00")&amp;","</f>
        <v>actionsPerMinute: 0.00,</v>
      </c>
      <c r="N78" t="str">
        <f>"actionsPerMinute: "&amp;TEXT($AA$11,"0.00")&amp;","</f>
        <v>actionsPerMinute: 0.00,</v>
      </c>
      <c r="O78" t="str">
        <f>"actionsPerMinute: "&amp;TEXT($AA$13,"0.00")&amp;","</f>
        <v>actionsPerMinute: 0.00,</v>
      </c>
      <c r="P78" t="str">
        <f>"actionsPerMinute: "&amp;TEXT($AA$5,"0.00")&amp;","</f>
        <v>actionsPerMinute: 0.00,</v>
      </c>
      <c r="Q78" t="str">
        <f>"actionsPerMinute: "&amp;TEXT($AA$10,"0.00")&amp;","</f>
        <v>actionsPerMinute: 0.00,</v>
      </c>
      <c r="R78" t="str">
        <f>"actionsPerMinute: "&amp;TEXT($AA$2,"0.00")&amp;","</f>
        <v>actionsPerMinute: 0.00,</v>
      </c>
      <c r="S78" t="str">
        <f>"actionsPerMinute: "&amp;TEXT($AA$19,"0.00")&amp;","</f>
        <v>actionsPerMinute: 0.00,</v>
      </c>
      <c r="T78" t="str">
        <f>"actionsPerMinute: "&amp;TEXT($AA$17,"0.00")&amp;","</f>
        <v>actionsPerMinute: 0.00,</v>
      </c>
      <c r="U78" t="str">
        <f>"actionsPerMinute: "&amp;TEXT($AA$18,"0.00")&amp;","</f>
        <v>actionsPerMinute: 0.00,</v>
      </c>
      <c r="V78" t="str">
        <f>"actionsPerMinute: "&amp;TEXT($AA$16,"0.00")&amp;","</f>
        <v>actionsPerMinute: 0.00,</v>
      </c>
      <c r="W78" t="str">
        <f>"actionsPerMinute: "&amp;TEXT($AA$6,"0.00")&amp;","</f>
        <v>actionsPerMinute: 0.00,</v>
      </c>
    </row>
    <row r="80" spans="1:23" x14ac:dyDescent="0.3">
      <c r="A80" s="2" t="s">
        <v>55</v>
      </c>
      <c r="B80" s="2" t="s">
        <v>55</v>
      </c>
      <c r="C80" s="2" t="s">
        <v>55</v>
      </c>
      <c r="D80" s="2" t="s">
        <v>55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</row>
    <row r="81" spans="1:23" x14ac:dyDescent="0.3">
      <c r="A81" t="str">
        <f>"totalActions: "&amp;$N$4&amp;","</f>
        <v>totalActions: ,</v>
      </c>
      <c r="B81" t="str">
        <f>"totalActions: "&amp;$N$15&amp;","</f>
        <v>totalActions: ,</v>
      </c>
      <c r="C81" t="str">
        <f>"totalActions: "&amp;$N$9&amp;","</f>
        <v>totalActions: ,</v>
      </c>
      <c r="D81" t="str">
        <f>"totalActions: "&amp;$N$24&amp;","</f>
        <v>totalActions: ,</v>
      </c>
      <c r="E81" t="str">
        <f>"totalActions: "&amp;$N$12&amp;","</f>
        <v>totalActions: ,</v>
      </c>
      <c r="F81" t="str">
        <f>"totalActions: "&amp;$N$22&amp;","</f>
        <v>totalActions: ,</v>
      </c>
      <c r="G81" t="str">
        <f>"totalActions: "&amp;$N$3&amp;","</f>
        <v>totalActions: ,</v>
      </c>
      <c r="H81" t="str">
        <f>"totalActions: "&amp;$N$7&amp;","</f>
        <v>totalActions: ,</v>
      </c>
      <c r="I81" t="str">
        <f>"totalActions: "&amp;$N$8&amp;","</f>
        <v>totalActions: ,</v>
      </c>
      <c r="J81" t="str">
        <f>"totalActions: "&amp;$N$23&amp;","</f>
        <v>totalActions: ,</v>
      </c>
      <c r="K81" t="str">
        <f>"totalActions: "&amp;$N$20&amp;","</f>
        <v>totalActions: ,</v>
      </c>
      <c r="L81" t="str">
        <f>"totalActions: "&amp;$N$14&amp;","</f>
        <v>totalActions: ,</v>
      </c>
      <c r="M81" t="str">
        <f>"totalActions: "&amp;$N$21&amp;","</f>
        <v>totalActions: ,</v>
      </c>
      <c r="N81" t="str">
        <f>"totalActions: "&amp;$N$11&amp;","</f>
        <v>totalActions: ,</v>
      </c>
      <c r="O81" t="str">
        <f>"totalActions: "&amp;$N$13&amp;","</f>
        <v>totalActions: ,</v>
      </c>
      <c r="P81" t="str">
        <f>"totalActions: "&amp;$N$5&amp;","</f>
        <v>totalActions: ,</v>
      </c>
      <c r="Q81" t="str">
        <f>"totalActions: "&amp;$N$10&amp;","</f>
        <v>totalActions: ,</v>
      </c>
      <c r="R81" t="str">
        <f>"totalActions: "&amp;$N$2&amp;","</f>
        <v>totalActions: ,</v>
      </c>
      <c r="S81" t="str">
        <f>"totalActions: "&amp;$N$19&amp;","</f>
        <v>totalActions: ,</v>
      </c>
      <c r="T81" t="str">
        <f>"totalActions: "&amp;$N$17&amp;","</f>
        <v>totalActions: ,</v>
      </c>
      <c r="U81" t="str">
        <f>"totalActions: "&amp;$N$18&amp;","</f>
        <v>totalActions: ,</v>
      </c>
      <c r="V81" t="str">
        <f>"totalActions: "&amp;$N$16&amp;","</f>
        <v>totalActions: ,</v>
      </c>
      <c r="W81" t="str">
        <f>"totalActions: "&amp;$N$6&amp;","</f>
        <v>totalActions: ,</v>
      </c>
    </row>
    <row r="82" spans="1:23" x14ac:dyDescent="0.3">
      <c r="A82" t="str">
        <f>"actionsPerMinute: "&amp;TEXT($O$4,"0.00")&amp;","</f>
        <v>actionsPerMinute: 0.00,</v>
      </c>
      <c r="B82" t="str">
        <f>"actionsPerMinute: "&amp;TEXT($O$15,"0.00")&amp;","</f>
        <v>actionsPerMinute: 0.00,</v>
      </c>
      <c r="C82" t="str">
        <f>"actionsPerMinute: "&amp;TEXT($O$9,"0.00")&amp;","</f>
        <v>actionsPerMinute: 0.00,</v>
      </c>
      <c r="D82" t="str">
        <f>"actionsPerMinute: "&amp;TEXT($O$24,"0.00")&amp;","</f>
        <v>actionsPerMinute: 0.00,</v>
      </c>
      <c r="E82" t="str">
        <f>"actionsPerMinute: "&amp;TEXT($O$12,"0.00")&amp;","</f>
        <v>actionsPerMinute: 0.00,</v>
      </c>
      <c r="F82" t="str">
        <f>"actionsPerMinute: "&amp;TEXT($O$22,"0.00")&amp;","</f>
        <v>actionsPerMinute: 0.00,</v>
      </c>
      <c r="G82" t="str">
        <f>"actionsPerMinute: "&amp;TEXT($O$3,"0.00")&amp;","</f>
        <v>actionsPerMinute: 0.00,</v>
      </c>
      <c r="H82" t="str">
        <f>"actionsPerMinute: "&amp;TEXT($O$7,"0.00")&amp;","</f>
        <v>actionsPerMinute: 0.00,</v>
      </c>
      <c r="I82" t="str">
        <f>"actionsPerMinute: "&amp;TEXT($O$8,"0.00")&amp;","</f>
        <v>actionsPerMinute: 0.00,</v>
      </c>
      <c r="J82" t="str">
        <f>"actionsPerMinute: "&amp;TEXT($O$23,"0.00")&amp;","</f>
        <v>actionsPerMinute: 0.00,</v>
      </c>
      <c r="K82" t="str">
        <f>"actionsPerMinute: "&amp;TEXT($O$20,"0.00")&amp;","</f>
        <v>actionsPerMinute: 0.00,</v>
      </c>
      <c r="L82" t="str">
        <f>"actionsPerMinute: "&amp;TEXT($O$14,"0.00")&amp;","</f>
        <v>actionsPerMinute: 0.00,</v>
      </c>
      <c r="M82" t="str">
        <f>"actionsPerMinute: "&amp;TEXT($O$21,"0.00")&amp;","</f>
        <v>actionsPerMinute: 0.00,</v>
      </c>
      <c r="N82" t="str">
        <f>"actionsPerMinute: "&amp;TEXT($O$11,"0.00")&amp;","</f>
        <v>actionsPerMinute: 0.00,</v>
      </c>
      <c r="O82" t="str">
        <f>"actionsPerMinute: "&amp;TEXT($O$13,"0.00")&amp;","</f>
        <v>actionsPerMinute: 0.00,</v>
      </c>
      <c r="P82" t="str">
        <f>"actionsPerMinute: "&amp;TEXT($O$5,"0.00")&amp;","</f>
        <v>actionsPerMinute: 0.00,</v>
      </c>
      <c r="Q82" t="str">
        <f>"actionsPerMinute: "&amp;TEXT($O$10,"0.00")&amp;","</f>
        <v>actionsPerMinute: 0.00,</v>
      </c>
      <c r="R82" t="str">
        <f>"actionsPerMinute: "&amp;TEXT($O$2,"0.00")&amp;","</f>
        <v>actionsPerMinute: 0.00,</v>
      </c>
      <c r="S82" t="str">
        <f>"actionsPerMinute: "&amp;TEXT($O$19,"0.00")&amp;","</f>
        <v>actionsPerMinute: 0.00,</v>
      </c>
      <c r="T82" t="str">
        <f>"actionsPerMinute: "&amp;TEXT($O$17,"0.00")&amp;","</f>
        <v>actionsPerMinute: 0.00,</v>
      </c>
      <c r="U82" t="str">
        <f>"actionsPerMinute: "&amp;TEXT($O$18,"0.00")&amp;","</f>
        <v>actionsPerMinute: 0.00,</v>
      </c>
      <c r="V82" t="str">
        <f>"actionsPerMinute: "&amp;TEXT($O$16,"0.00")&amp;","</f>
        <v>actionsPerMinute: 0.00,</v>
      </c>
      <c r="W82" t="str">
        <f>"actionsPerMinute: "&amp;TEXT($O$6,"0.00")&amp;","</f>
        <v>actionsPerMinute: 0.00,</v>
      </c>
    </row>
    <row r="83" spans="1:23" x14ac:dyDescent="0.3">
      <c r="A83" t="str">
        <f>"goals: "&amp;$C$4&amp;","</f>
        <v>goals: ,</v>
      </c>
      <c r="B83" t="str">
        <f>"goals: "&amp;$C$15&amp;","</f>
        <v>goals: ,</v>
      </c>
      <c r="C83" t="str">
        <f>"goals: "&amp;$C$9&amp;","</f>
        <v>goals: ,</v>
      </c>
      <c r="D83" t="str">
        <f>"goals: "&amp;$C$24&amp;","</f>
        <v>goals: ,</v>
      </c>
      <c r="E83" t="str">
        <f>"goals: "&amp;$C$12&amp;","</f>
        <v>goals: ,</v>
      </c>
      <c r="F83" t="str">
        <f>"goals: "&amp;$C$22&amp;","</f>
        <v>goals: ,</v>
      </c>
      <c r="G83" t="str">
        <f>"goals: "&amp;$C$3&amp;","</f>
        <v>goals: ,</v>
      </c>
      <c r="H83" t="str">
        <f>"goals: "&amp;$C$7&amp;","</f>
        <v>goals: ,</v>
      </c>
      <c r="I83" t="str">
        <f>"goals: "&amp;$C$8&amp;","</f>
        <v>goals: ,</v>
      </c>
      <c r="J83" t="str">
        <f>"goals: "&amp;$C$23&amp;","</f>
        <v>goals: ,</v>
      </c>
      <c r="K83" t="str">
        <f>"goals: "&amp;$C$20&amp;","</f>
        <v>goals: ,</v>
      </c>
      <c r="L83" t="str">
        <f>"goals: "&amp;$C$14&amp;","</f>
        <v>goals: ,</v>
      </c>
      <c r="M83" t="str">
        <f>"goals: "&amp;$C$21&amp;","</f>
        <v>goals: ,</v>
      </c>
      <c r="N83" t="str">
        <f>"goals: "&amp;$C$11&amp;","</f>
        <v>goals: ,</v>
      </c>
      <c r="O83" t="str">
        <f>"goals: "&amp;$C$13&amp;","</f>
        <v>goals: ,</v>
      </c>
      <c r="P83" t="str">
        <f>"goals: "&amp;$C$5&amp;","</f>
        <v>goals: ,</v>
      </c>
      <c r="Q83" t="str">
        <f>"goals: "&amp;$C$10&amp;","</f>
        <v>goals: ,</v>
      </c>
      <c r="R83" t="str">
        <f>"goals: "&amp;$C$2&amp;","</f>
        <v>goals: ,</v>
      </c>
      <c r="S83" t="str">
        <f>"goals: "&amp;$C$19&amp;","</f>
        <v>goals: ,</v>
      </c>
      <c r="T83" t="str">
        <f>"goals: "&amp;$C$17&amp;","</f>
        <v>goals: ,</v>
      </c>
      <c r="U83" t="str">
        <f>"goals: "&amp;$C$18&amp;","</f>
        <v>goals: ,</v>
      </c>
      <c r="V83" t="str">
        <f>"goals: "&amp;$C$16&amp;","</f>
        <v>goals: ,</v>
      </c>
      <c r="W83" t="str">
        <f>"goals: "&amp;$C$6&amp;","</f>
        <v>goals: ,</v>
      </c>
    </row>
    <row r="84" spans="1:23" x14ac:dyDescent="0.3">
      <c r="A84" t="str">
        <f>"assists: "&amp;$D$4&amp;","</f>
        <v>assists: ,</v>
      </c>
      <c r="B84" t="str">
        <f>"assists: "&amp;$D$15&amp;","</f>
        <v>assists: ,</v>
      </c>
      <c r="C84" t="str">
        <f>"assists: "&amp;$D$9&amp;","</f>
        <v>assists: ,</v>
      </c>
      <c r="D84" t="str">
        <f>"assists: "&amp;$D$24&amp;","</f>
        <v>assists: ,</v>
      </c>
      <c r="E84" t="str">
        <f>"assists: "&amp;$D$12&amp;","</f>
        <v>assists: ,</v>
      </c>
      <c r="F84" t="str">
        <f>"assists: "&amp;$D$22&amp;","</f>
        <v>assists: ,</v>
      </c>
      <c r="G84" t="str">
        <f>"assists: "&amp;$D$3&amp;","</f>
        <v>assists: ,</v>
      </c>
      <c r="H84" t="str">
        <f>"assists: "&amp;$D$7&amp;","</f>
        <v>assists: ,</v>
      </c>
      <c r="I84" t="str">
        <f>"assists: "&amp;$D$8&amp;","</f>
        <v>assists: ,</v>
      </c>
      <c r="J84" t="str">
        <f>"assists: "&amp;$D$23&amp;","</f>
        <v>assists: ,</v>
      </c>
      <c r="K84" t="str">
        <f>"assists: "&amp;$D$20&amp;","</f>
        <v>assists: ,</v>
      </c>
      <c r="L84" t="str">
        <f>"assists: "&amp;$D$14&amp;","</f>
        <v>assists: ,</v>
      </c>
      <c r="M84" t="str">
        <f>"assists: "&amp;$D$21&amp;","</f>
        <v>assists: ,</v>
      </c>
      <c r="N84" t="str">
        <f>"assists: "&amp;$D$11&amp;","</f>
        <v>assists: ,</v>
      </c>
      <c r="O84" t="str">
        <f>"assists: "&amp;$D$13&amp;","</f>
        <v>assists: ,</v>
      </c>
      <c r="P84" t="str">
        <f>"assists: "&amp;$D$5&amp;","</f>
        <v>assists: ,</v>
      </c>
      <c r="Q84" t="str">
        <f>"assists: "&amp;$D$10&amp;","</f>
        <v>assists: ,</v>
      </c>
      <c r="R84" t="str">
        <f>"assists: "&amp;$D$2&amp;","</f>
        <v>assists: ,</v>
      </c>
      <c r="S84" t="str">
        <f>"assists: "&amp;$D$19&amp;","</f>
        <v>assists: ,</v>
      </c>
      <c r="T84" t="str">
        <f>"assists: "&amp;$D$17&amp;","</f>
        <v>assists: ,</v>
      </c>
      <c r="U84" t="str">
        <f>"assists: "&amp;$D$18&amp;","</f>
        <v>assists: ,</v>
      </c>
      <c r="V84" t="str">
        <f>"assists: "&amp;$D$16&amp;","</f>
        <v>assists: ,</v>
      </c>
      <c r="W84" t="str">
        <f>"assists: "&amp;$D$6&amp;","</f>
        <v>assists: ,</v>
      </c>
    </row>
    <row r="85" spans="1:23" x14ac:dyDescent="0.3">
      <c r="A85" t="str">
        <f>"keyPasses: "&amp;$E$4&amp;","</f>
        <v>keyPasses: ,</v>
      </c>
      <c r="B85" t="str">
        <f>"keyPasses: "&amp;$E$15&amp;","</f>
        <v>keyPasses: ,</v>
      </c>
      <c r="C85" t="str">
        <f>"keyPasses: "&amp;$E$9&amp;","</f>
        <v>keyPasses: ,</v>
      </c>
      <c r="D85" t="str">
        <f>"keyPasses: "&amp;$E$24&amp;","</f>
        <v>keyPasses: ,</v>
      </c>
      <c r="E85" t="str">
        <f>"keyPasses: "&amp;$E$12&amp;","</f>
        <v>keyPasses: ,</v>
      </c>
      <c r="F85" t="str">
        <f>"keyPasses: "&amp;$E$22&amp;","</f>
        <v>keyPasses: ,</v>
      </c>
      <c r="G85" t="str">
        <f>"keyPasses: "&amp;$E$3&amp;","</f>
        <v>keyPasses: ,</v>
      </c>
      <c r="H85" t="str">
        <f>"keyPasses: "&amp;$E$7&amp;","</f>
        <v>keyPasses: ,</v>
      </c>
      <c r="I85" t="str">
        <f>"keyPasses: "&amp;$E$8&amp;","</f>
        <v>keyPasses: ,</v>
      </c>
      <c r="J85" t="str">
        <f>"keyPasses: "&amp;$E$23&amp;","</f>
        <v>keyPasses: ,</v>
      </c>
      <c r="K85" t="str">
        <f>"keyPasses: "&amp;$E$20&amp;","</f>
        <v>keyPasses: ,</v>
      </c>
      <c r="L85" t="str">
        <f>"keyPasses: "&amp;$E$14&amp;","</f>
        <v>keyPasses: ,</v>
      </c>
      <c r="M85" t="str">
        <f>"keyPasses: "&amp;$E$21&amp;","</f>
        <v>keyPasses: ,</v>
      </c>
      <c r="N85" t="str">
        <f>"keyPasses: "&amp;$E$11&amp;","</f>
        <v>keyPasses: ,</v>
      </c>
      <c r="O85" t="str">
        <f>"keyPasses: "&amp;$E$13&amp;","</f>
        <v>keyPasses: ,</v>
      </c>
      <c r="P85" t="str">
        <f>"keyPasses: "&amp;$E$5&amp;","</f>
        <v>keyPasses: ,</v>
      </c>
      <c r="Q85" t="str">
        <f>"keyPasses: "&amp;$E$10&amp;","</f>
        <v>keyPasses: ,</v>
      </c>
      <c r="R85" t="str">
        <f>"keyPasses: "&amp;$E$2&amp;","</f>
        <v>keyPasses: ,</v>
      </c>
      <c r="S85" t="str">
        <f>"keyPasses: "&amp;$E$19&amp;","</f>
        <v>keyPasses: ,</v>
      </c>
      <c r="T85" t="str">
        <f>"keyPasses: "&amp;$E$17&amp;","</f>
        <v>keyPasses: ,</v>
      </c>
      <c r="U85" t="str">
        <f>"keyPasses: "&amp;$E$18&amp;","</f>
        <v>keyPasses: ,</v>
      </c>
      <c r="V85" t="str">
        <f>"keyPasses: "&amp;$E$16&amp;","</f>
        <v>keyPasses: ,</v>
      </c>
      <c r="W85" t="str">
        <f>"keyPasses: "&amp;$E$6&amp;","</f>
        <v>keyPasses: ,</v>
      </c>
    </row>
    <row r="86" spans="1:23" x14ac:dyDescent="0.3">
      <c r="A86" t="str">
        <f>"outplayFwd: "&amp;$G$4&amp;","</f>
        <v>outplayFwd: ,</v>
      </c>
      <c r="B86" t="str">
        <f>"outplayFwd: "&amp;$G$15&amp;","</f>
        <v>outplayFwd: ,</v>
      </c>
      <c r="C86" t="str">
        <f>"outplayFwd: "&amp;$G$9&amp;","</f>
        <v>outplayFwd: ,</v>
      </c>
      <c r="D86" t="str">
        <f>"outplayFwd: "&amp;$G$24&amp;","</f>
        <v>outplayFwd: ,</v>
      </c>
      <c r="E86" t="str">
        <f>"outplayFwd: "&amp;$G$12&amp;","</f>
        <v>outplayFwd: ,</v>
      </c>
      <c r="F86" t="str">
        <f>"outplayFwd: "&amp;$G$22&amp;","</f>
        <v>outplayFwd: ,</v>
      </c>
      <c r="G86" t="str">
        <f>"outplayFwd: "&amp;$G$3&amp;","</f>
        <v>outplayFwd: ,</v>
      </c>
      <c r="H86" t="str">
        <f>"outplayFwd: "&amp;$G$7&amp;","</f>
        <v>outplayFwd: ,</v>
      </c>
      <c r="I86" t="str">
        <f>"outplayFwd: "&amp;$G$8&amp;","</f>
        <v>outplayFwd: ,</v>
      </c>
      <c r="J86" t="str">
        <f>"outplayFwd: "&amp;$G$23&amp;","</f>
        <v>outplayFwd: ,</v>
      </c>
      <c r="K86" t="str">
        <f>"outplayFwd: "&amp;$G$20&amp;","</f>
        <v>outplayFwd: ,</v>
      </c>
      <c r="L86" t="str">
        <f>"outplayFwd: "&amp;$G$14&amp;","</f>
        <v>outplayFwd: ,</v>
      </c>
      <c r="M86" t="str">
        <f>"outplayFwd: "&amp;$G$21&amp;","</f>
        <v>outplayFwd: ,</v>
      </c>
      <c r="N86" t="str">
        <f>"outplayFwd: "&amp;$G$11&amp;","</f>
        <v>outplayFwd: ,</v>
      </c>
      <c r="O86" t="str">
        <f>"outplayFwd: "&amp;$G$13&amp;","</f>
        <v>outplayFwd: ,</v>
      </c>
      <c r="P86" t="str">
        <f>"outplayFwd: "&amp;$G$5&amp;","</f>
        <v>outplayFwd: ,</v>
      </c>
      <c r="Q86" t="str">
        <f>"outplayFwd: "&amp;$G$10&amp;","</f>
        <v>outplayFwd: ,</v>
      </c>
      <c r="R86" t="str">
        <f>"outplayFwd: "&amp;$G$2&amp;","</f>
        <v>outplayFwd: ,</v>
      </c>
      <c r="S86" t="str">
        <f>"outplayFwd: "&amp;$G$19&amp;","</f>
        <v>outplayFwd: ,</v>
      </c>
      <c r="T86" t="str">
        <f>"outplayFwd: "&amp;$G$17&amp;","</f>
        <v>outplayFwd: ,</v>
      </c>
      <c r="U86" t="str">
        <f>"outplayFwd: "&amp;$G$18&amp;","</f>
        <v>outplayFwd: ,</v>
      </c>
      <c r="V86" t="str">
        <f>"outplayFwd: "&amp;$G$16&amp;","</f>
        <v>outplayFwd: ,</v>
      </c>
      <c r="W86" t="str">
        <f>"outplayFwd: "&amp;$G$6&amp;","</f>
        <v>outplayFwd: ,</v>
      </c>
    </row>
    <row r="87" spans="1:23" x14ac:dyDescent="0.3">
      <c r="A87" t="str">
        <f>"effectiveCrosses: "&amp;$H$4&amp;","</f>
        <v>effectiveCrosses: ,</v>
      </c>
      <c r="B87" t="str">
        <f>"effectiveCrosses: "&amp;$H$15&amp;","</f>
        <v>effectiveCrosses: ,</v>
      </c>
      <c r="C87" t="str">
        <f>"effectiveCrosses: "&amp;$H$9&amp;","</f>
        <v>effectiveCrosses: ,</v>
      </c>
      <c r="D87" t="str">
        <f>"effectiveCrosses: "&amp;$H$24&amp;","</f>
        <v>effectiveCrosses: ,</v>
      </c>
      <c r="E87" t="str">
        <f>"effectiveCrosses: "&amp;$H$12&amp;","</f>
        <v>effectiveCrosses: ,</v>
      </c>
      <c r="F87" t="str">
        <f>"effectiveCrosses: "&amp;$H$22&amp;","</f>
        <v>effectiveCrosses: ,</v>
      </c>
      <c r="G87" t="str">
        <f>"effectiveCrosses: "&amp;$H$3&amp;","</f>
        <v>effectiveCrosses: ,</v>
      </c>
      <c r="H87" t="str">
        <f>"effectiveCrosses: "&amp;$H$7&amp;","</f>
        <v>effectiveCrosses: ,</v>
      </c>
      <c r="I87" t="str">
        <f>"effectiveCrosses: "&amp;$H$8&amp;","</f>
        <v>effectiveCrosses: ,</v>
      </c>
      <c r="J87" t="str">
        <f>"effectiveCrosses: "&amp;$H$23&amp;","</f>
        <v>effectiveCrosses: ,</v>
      </c>
      <c r="K87" t="str">
        <f>"effectiveCrosses: "&amp;$H$20&amp;","</f>
        <v>effectiveCrosses: ,</v>
      </c>
      <c r="L87" t="str">
        <f>"effectiveCrosses: "&amp;$H$14&amp;","</f>
        <v>effectiveCrosses: ,</v>
      </c>
      <c r="M87" t="str">
        <f>"effectiveCrosses: "&amp;$H$21&amp;","</f>
        <v>effectiveCrosses: ,</v>
      </c>
      <c r="N87" t="str">
        <f>"effectiveCrosses: "&amp;$H$11&amp;","</f>
        <v>effectiveCrosses: ,</v>
      </c>
      <c r="O87" t="str">
        <f>"effectiveCrosses: "&amp;$H$13&amp;","</f>
        <v>effectiveCrosses: ,</v>
      </c>
      <c r="P87" t="str">
        <f>"effectiveCrosses: "&amp;$H$5&amp;","</f>
        <v>effectiveCrosses: ,</v>
      </c>
      <c r="Q87" t="str">
        <f>"effectiveCrosses: "&amp;$H$10&amp;","</f>
        <v>effectiveCrosses: ,</v>
      </c>
      <c r="R87" t="str">
        <f>"effectiveCrosses: "&amp;$H$2&amp;","</f>
        <v>effectiveCrosses: ,</v>
      </c>
      <c r="S87" t="str">
        <f>"effectiveCrosses: "&amp;$H$19&amp;","</f>
        <v>effectiveCrosses: ,</v>
      </c>
      <c r="T87" t="str">
        <f>"effectiveCrosses: "&amp;$H$17&amp;","</f>
        <v>effectiveCrosses: ,</v>
      </c>
      <c r="U87" t="str">
        <f>"effectiveCrosses: "&amp;$H$18&amp;","</f>
        <v>effectiveCrosses: ,</v>
      </c>
      <c r="V87" t="str">
        <f>"effectiveCrosses: "&amp;$H$16&amp;","</f>
        <v>effectiveCrosses: ,</v>
      </c>
      <c r="W87" t="str">
        <f>"effectiveCrosses: "&amp;$H$6&amp;","</f>
        <v>effectiveCrosses: ,</v>
      </c>
    </row>
    <row r="88" spans="1:23" x14ac:dyDescent="0.3">
      <c r="A88" t="str">
        <f>"oneVOnes: "&amp;$I$4&amp;","</f>
        <v>oneVOnes: ,</v>
      </c>
      <c r="B88" t="str">
        <f>"oneVOnes: "&amp;$I$15&amp;","</f>
        <v>oneVOnes: ,</v>
      </c>
      <c r="C88" t="str">
        <f>"oneVOnes: "&amp;$I$9&amp;","</f>
        <v>oneVOnes: ,</v>
      </c>
      <c r="D88" t="str">
        <f>"oneVOnes: "&amp;$I$24&amp;","</f>
        <v>oneVOnes: ,</v>
      </c>
      <c r="E88" t="str">
        <f>"oneVOnes: "&amp;$I$12&amp;","</f>
        <v>oneVOnes: ,</v>
      </c>
      <c r="F88" t="str">
        <f>"oneVOnes: "&amp;$I$22&amp;","</f>
        <v>oneVOnes: ,</v>
      </c>
      <c r="G88" t="str">
        <f>"oneVOnes: "&amp;$I$3&amp;","</f>
        <v>oneVOnes: ,</v>
      </c>
      <c r="H88" t="str">
        <f>"oneVOnes: "&amp;$I$7&amp;","</f>
        <v>oneVOnes: ,</v>
      </c>
      <c r="I88" t="str">
        <f>"oneVOnes: "&amp;$I$8&amp;","</f>
        <v>oneVOnes: ,</v>
      </c>
      <c r="J88" t="str">
        <f>"oneVOnes: "&amp;$I$23&amp;","</f>
        <v>oneVOnes: ,</v>
      </c>
      <c r="K88" t="str">
        <f>"oneVOnes: "&amp;$I$20&amp;","</f>
        <v>oneVOnes: ,</v>
      </c>
      <c r="L88" t="str">
        <f>"oneVOnes: "&amp;$I$14&amp;","</f>
        <v>oneVOnes: ,</v>
      </c>
      <c r="M88" t="str">
        <f>"oneVOnes: "&amp;$I$21&amp;","</f>
        <v>oneVOnes: ,</v>
      </c>
      <c r="N88" t="str">
        <f>"oneVOnes: "&amp;$I$11&amp;","</f>
        <v>oneVOnes: ,</v>
      </c>
      <c r="O88" t="str">
        <f>"oneVOnes: "&amp;$I$13&amp;","</f>
        <v>oneVOnes: ,</v>
      </c>
      <c r="P88" t="str">
        <f>"oneVOnes: "&amp;$I$5&amp;","</f>
        <v>oneVOnes: ,</v>
      </c>
      <c r="Q88" t="str">
        <f>"oneVOnes: "&amp;$I$10&amp;","</f>
        <v>oneVOnes: ,</v>
      </c>
      <c r="R88" t="str">
        <f>"oneVOnes: "&amp;$I$2&amp;","</f>
        <v>oneVOnes: ,</v>
      </c>
      <c r="S88" t="str">
        <f>"oneVOnes: "&amp;$I$19&amp;","</f>
        <v>oneVOnes: ,</v>
      </c>
      <c r="T88" t="str">
        <f>"oneVOnes: "&amp;$I$17&amp;","</f>
        <v>oneVOnes: ,</v>
      </c>
      <c r="U88" t="str">
        <f>"oneVOnes: "&amp;$I$18&amp;","</f>
        <v>oneVOnes: ,</v>
      </c>
      <c r="V88" t="str">
        <f>"oneVOnes: "&amp;$I$16&amp;","</f>
        <v>oneVOnes: ,</v>
      </c>
      <c r="W88" t="str">
        <f>"oneVOnes: "&amp;$I$6&amp;","</f>
        <v>oneVOnes: ,</v>
      </c>
    </row>
    <row r="89" spans="1:23" x14ac:dyDescent="0.3">
      <c r="A89" t="str">
        <f>"headers: "&amp;$J$4&amp;","</f>
        <v>headers: ,</v>
      </c>
      <c r="B89" t="str">
        <f>"headers: "&amp;$J$15&amp;","</f>
        <v>headers: ,</v>
      </c>
      <c r="C89" t="str">
        <f>"headers: "&amp;$J$9&amp;","</f>
        <v>headers: ,</v>
      </c>
      <c r="D89" t="str">
        <f>"headers: "&amp;$J$24&amp;","</f>
        <v>headers: ,</v>
      </c>
      <c r="E89" t="str">
        <f>"headers: "&amp;$J$12&amp;","</f>
        <v>headers: ,</v>
      </c>
      <c r="F89" t="str">
        <f>"headers: "&amp;$J$22&amp;","</f>
        <v>headers: ,</v>
      </c>
      <c r="G89" t="str">
        <f>"headers: "&amp;$J$3&amp;","</f>
        <v>headers: ,</v>
      </c>
      <c r="H89" t="str">
        <f>"headers: "&amp;$J$7&amp;","</f>
        <v>headers: ,</v>
      </c>
      <c r="I89" t="str">
        <f>"headers: "&amp;$J$8&amp;","</f>
        <v>headers: ,</v>
      </c>
      <c r="J89" t="str">
        <f>"headers: "&amp;$J$23&amp;","</f>
        <v>headers: ,</v>
      </c>
      <c r="K89" t="str">
        <f>"headers: "&amp;$J$20&amp;","</f>
        <v>headers: ,</v>
      </c>
      <c r="L89" t="str">
        <f>"headers: "&amp;$J$14&amp;","</f>
        <v>headers: ,</v>
      </c>
      <c r="M89" t="str">
        <f>"headers: "&amp;$J$21&amp;","</f>
        <v>headers: ,</v>
      </c>
      <c r="N89" t="str">
        <f>"headers: "&amp;$J$11&amp;","</f>
        <v>headers: ,</v>
      </c>
      <c r="O89" t="str">
        <f>"headers: "&amp;$J$13&amp;","</f>
        <v>headers: ,</v>
      </c>
      <c r="P89" t="str">
        <f>"headers: "&amp;$J$5&amp;","</f>
        <v>headers: ,</v>
      </c>
      <c r="Q89" t="str">
        <f>"headers: "&amp;$J$10&amp;","</f>
        <v>headers: ,</v>
      </c>
      <c r="R89" t="str">
        <f>"headers: "&amp;$J$2&amp;","</f>
        <v>headers: ,</v>
      </c>
      <c r="S89" t="str">
        <f>"headers: "&amp;$J$19&amp;","</f>
        <v>headers: ,</v>
      </c>
      <c r="T89" t="str">
        <f>"headers: "&amp;$J$17&amp;","</f>
        <v>headers: ,</v>
      </c>
      <c r="U89" t="str">
        <f>"headers: "&amp;$J$18&amp;","</f>
        <v>headers: ,</v>
      </c>
      <c r="V89" t="str">
        <f>"headers: "&amp;$J$16&amp;","</f>
        <v>headers: ,</v>
      </c>
      <c r="W89" t="str">
        <f>"headers: "&amp;$J$6&amp;","</f>
        <v>headers: ,</v>
      </c>
    </row>
    <row r="90" spans="1:23" x14ac:dyDescent="0.3">
      <c r="A90" t="str">
        <f>"spEarned: "&amp;$K$4&amp;","</f>
        <v>spEarned: ,</v>
      </c>
      <c r="B90" t="str">
        <f>"spEarned: "&amp;$K$15&amp;","</f>
        <v>spEarned: ,</v>
      </c>
      <c r="C90" t="str">
        <f>"spEarned: "&amp;$K$9&amp;","</f>
        <v>spEarned: ,</v>
      </c>
      <c r="D90" t="str">
        <f>"spEarned: "&amp;$K$24&amp;","</f>
        <v>spEarned: ,</v>
      </c>
      <c r="E90" t="str">
        <f>"spEarned: "&amp;$K$12&amp;","</f>
        <v>spEarned: ,</v>
      </c>
      <c r="F90" t="str">
        <f>"spEarned: "&amp;$K$22&amp;","</f>
        <v>spEarned: ,</v>
      </c>
      <c r="G90" t="str">
        <f>"spEarned: "&amp;$K$3&amp;","</f>
        <v>spEarned: ,</v>
      </c>
      <c r="H90" t="str">
        <f>"spEarned: "&amp;$K$7&amp;","</f>
        <v>spEarned: ,</v>
      </c>
      <c r="I90" t="str">
        <f>"spEarned: "&amp;$K$8&amp;","</f>
        <v>spEarned: ,</v>
      </c>
      <c r="J90" t="str">
        <f>"spEarned: "&amp;$K$23&amp;","</f>
        <v>spEarned: ,</v>
      </c>
      <c r="K90" t="str">
        <f>"spEarned: "&amp;$K$20&amp;","</f>
        <v>spEarned: ,</v>
      </c>
      <c r="L90" t="str">
        <f>"spEarned: "&amp;$K$14&amp;","</f>
        <v>spEarned: ,</v>
      </c>
      <c r="M90" t="str">
        <f>"spEarned: "&amp;$K$21&amp;","</f>
        <v>spEarned: ,</v>
      </c>
      <c r="N90" t="str">
        <f>"spEarned: "&amp;$K$11&amp;","</f>
        <v>spEarned: ,</v>
      </c>
      <c r="O90" t="str">
        <f>"spEarned: "&amp;$K$13&amp;","</f>
        <v>spEarned: ,</v>
      </c>
      <c r="P90" t="str">
        <f>"spEarned: "&amp;$K$5&amp;","</f>
        <v>spEarned: ,</v>
      </c>
      <c r="Q90" t="str">
        <f>"spEarned: "&amp;$K$10&amp;","</f>
        <v>spEarned: ,</v>
      </c>
      <c r="R90" t="str">
        <f>"spEarned: "&amp;$K$2&amp;","</f>
        <v>spEarned: ,</v>
      </c>
      <c r="S90" t="str">
        <f>"spEarned: "&amp;$K$19&amp;","</f>
        <v>spEarned: ,</v>
      </c>
      <c r="T90" t="str">
        <f>"spEarned: "&amp;$K$17&amp;","</f>
        <v>spEarned: ,</v>
      </c>
      <c r="U90" t="str">
        <f>"spEarned: "&amp;$K$18&amp;","</f>
        <v>spEarned: ,</v>
      </c>
      <c r="V90" t="str">
        <f>"spEarned: "&amp;$K$16&amp;","</f>
        <v>spEarned: ,</v>
      </c>
      <c r="W90" t="str">
        <f>"spEarned: "&amp;$K$6&amp;","</f>
        <v>spEarned: ,</v>
      </c>
    </row>
    <row r="91" spans="1:23" x14ac:dyDescent="0.3">
      <c r="A91" t="str">
        <f>"onTargetShots: "&amp;$M$4&amp;","</f>
        <v>onTargetShots: ,</v>
      </c>
      <c r="B91" t="str">
        <f>"onTargetShots: "&amp;$M$15&amp;","</f>
        <v>onTargetShots: ,</v>
      </c>
      <c r="C91" t="str">
        <f>"onTargetShots: "&amp;$M$9&amp;","</f>
        <v>onTargetShots: ,</v>
      </c>
      <c r="D91" t="str">
        <f>"onTargetShots: "&amp;$M$24&amp;","</f>
        <v>onTargetShots: ,</v>
      </c>
      <c r="E91" t="str">
        <f>"onTargetShots: "&amp;$M$12&amp;","</f>
        <v>onTargetShots: ,</v>
      </c>
      <c r="F91" t="str">
        <f>"onTargetShots: "&amp;$M$22&amp;","</f>
        <v>onTargetShots: ,</v>
      </c>
      <c r="G91" t="str">
        <f>"onTargetShots: "&amp;$M$3&amp;","</f>
        <v>onTargetShots: ,</v>
      </c>
      <c r="H91" t="str">
        <f>"onTargetShots: "&amp;$M$7&amp;","</f>
        <v>onTargetShots: ,</v>
      </c>
      <c r="I91" t="str">
        <f>"onTargetShots: "&amp;$M$8&amp;","</f>
        <v>onTargetShots: ,</v>
      </c>
      <c r="J91" t="str">
        <f>"onTargetShots: "&amp;$M$23&amp;","</f>
        <v>onTargetShots: ,</v>
      </c>
      <c r="K91" t="str">
        <f>"onTargetShots: "&amp;$M$20&amp;","</f>
        <v>onTargetShots: ,</v>
      </c>
      <c r="L91" t="str">
        <f>"onTargetShots: "&amp;$M$14&amp;","</f>
        <v>onTargetShots: ,</v>
      </c>
      <c r="M91" t="str">
        <f>"onTargetShots: "&amp;$M$21&amp;","</f>
        <v>onTargetShots: ,</v>
      </c>
      <c r="N91" t="str">
        <f>"onTargetShots: "&amp;$M$11&amp;","</f>
        <v>onTargetShots: ,</v>
      </c>
      <c r="O91" t="str">
        <f>"onTargetShots: "&amp;$M$13&amp;","</f>
        <v>onTargetShots: ,</v>
      </c>
      <c r="P91" t="str">
        <f>"onTargetShots: "&amp;$M$5&amp;","</f>
        <v>onTargetShots: ,</v>
      </c>
      <c r="Q91" t="str">
        <f>"onTargetShots: "&amp;$M$10&amp;","</f>
        <v>onTargetShots: ,</v>
      </c>
      <c r="R91" t="str">
        <f>"onTargetShots: "&amp;$M$2&amp;","</f>
        <v>onTargetShots: ,</v>
      </c>
      <c r="S91" t="str">
        <f>"onTargetShots: "&amp;$M$19&amp;","</f>
        <v>onTargetShots: ,</v>
      </c>
      <c r="T91" t="str">
        <f>"onTargetShots: "&amp;$M$17&amp;","</f>
        <v>onTargetShots: ,</v>
      </c>
      <c r="U91" t="str">
        <f>"onTargetShots: "&amp;$M$18&amp;","</f>
        <v>onTargetShots: ,</v>
      </c>
      <c r="V91" t="str">
        <f>"onTargetShots: "&amp;$M$16&amp;","</f>
        <v>onTargetShots: ,</v>
      </c>
      <c r="W91" t="str">
        <f>"onTargetShots: "&amp;$M$6&amp;","</f>
        <v>onTargetShots: ,</v>
      </c>
    </row>
    <row r="92" spans="1:23" x14ac:dyDescent="0.3">
      <c r="A92" t="str">
        <f>"offTargetShots: "&amp;$L$4&amp;","</f>
        <v>offTargetShots: ,</v>
      </c>
      <c r="B92" t="str">
        <f>"offTargetShots: "&amp;$L$15&amp;","</f>
        <v>offTargetShots: ,</v>
      </c>
      <c r="C92" t="str">
        <f>"offTargetShots: "&amp;$L$9&amp;","</f>
        <v>offTargetShots: ,</v>
      </c>
      <c r="D92" t="str">
        <f>"offTargetShots: "&amp;$L$24&amp;","</f>
        <v>offTargetShots: ,</v>
      </c>
      <c r="E92" t="str">
        <f>"offTargetShots: "&amp;$L$12&amp;","</f>
        <v>offTargetShots: ,</v>
      </c>
      <c r="F92" t="str">
        <f>"offTargetShots: "&amp;$L$22&amp;","</f>
        <v>offTargetShots: ,</v>
      </c>
      <c r="G92" t="str">
        <f>"offTargetShots: "&amp;$L$3&amp;","</f>
        <v>offTargetShots: ,</v>
      </c>
      <c r="H92" t="str">
        <f>"offTargetShots: "&amp;$L$7&amp;","</f>
        <v>offTargetShots: ,</v>
      </c>
      <c r="I92" t="str">
        <f>"offTargetShots: "&amp;$L$8&amp;","</f>
        <v>offTargetShots: ,</v>
      </c>
      <c r="J92" t="str">
        <f>"offTargetShots: "&amp;$L$23&amp;","</f>
        <v>offTargetShots: ,</v>
      </c>
      <c r="K92" t="str">
        <f>"offTargetShots: "&amp;$L$20&amp;","</f>
        <v>offTargetShots: ,</v>
      </c>
      <c r="L92" t="str">
        <f>"offTargetShots: "&amp;$L$14&amp;","</f>
        <v>offTargetShots: ,</v>
      </c>
      <c r="M92" t="str">
        <f>"offTargetShots: "&amp;$L$21&amp;","</f>
        <v>offTargetShots: ,</v>
      </c>
      <c r="N92" t="str">
        <f>"offTargetShots: "&amp;$L$11&amp;","</f>
        <v>offTargetShots: ,</v>
      </c>
      <c r="O92" t="str">
        <f>"offTargetShots: "&amp;$L$13&amp;","</f>
        <v>offTargetShots: ,</v>
      </c>
      <c r="P92" t="str">
        <f>"offTargetShots: "&amp;$L$5&amp;","</f>
        <v>offTargetShots: ,</v>
      </c>
      <c r="Q92" t="str">
        <f>"offTargetShots: "&amp;$L$10&amp;","</f>
        <v>offTargetShots: ,</v>
      </c>
      <c r="R92" t="str">
        <f>"offTargetShots: "&amp;$L$2&amp;","</f>
        <v>offTargetShots: ,</v>
      </c>
      <c r="S92" t="str">
        <f>"offTargetShots: "&amp;$L$19&amp;","</f>
        <v>offTargetShots: ,</v>
      </c>
      <c r="T92" t="str">
        <f>"offTargetShots: "&amp;$L$17&amp;","</f>
        <v>offTargetShots: ,</v>
      </c>
      <c r="U92" t="str">
        <f>"offTargetShots: "&amp;$L$18&amp;","</f>
        <v>offTargetShots: ,</v>
      </c>
      <c r="V92" t="str">
        <f>"offTargetShots: "&amp;$L$16&amp;","</f>
        <v>offTargetShots: ,</v>
      </c>
      <c r="W92" t="str">
        <f>"offTargetShots: "&amp;$L$6&amp;","</f>
        <v>offTargetShots: ,</v>
      </c>
    </row>
    <row r="93" spans="1:23" x14ac:dyDescent="0.3">
      <c r="A93" s="2" t="s">
        <v>56</v>
      </c>
      <c r="B93" s="2" t="s">
        <v>56</v>
      </c>
      <c r="C93" s="2" t="s">
        <v>56</v>
      </c>
      <c r="D93" s="2" t="s">
        <v>56</v>
      </c>
      <c r="E93" s="2" t="s">
        <v>56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</row>
    <row r="95" spans="1:23" x14ac:dyDescent="0.3">
      <c r="A95" s="2" t="s">
        <v>57</v>
      </c>
      <c r="B95" s="2" t="s">
        <v>57</v>
      </c>
      <c r="C95" s="2" t="s">
        <v>57</v>
      </c>
      <c r="D95" s="2" t="s">
        <v>57</v>
      </c>
      <c r="E95" s="2" t="s">
        <v>57</v>
      </c>
      <c r="F95" s="2" t="s">
        <v>57</v>
      </c>
      <c r="G95" s="2" t="s">
        <v>57</v>
      </c>
      <c r="H95" s="2" t="s">
        <v>57</v>
      </c>
      <c r="I95" s="2" t="s">
        <v>57</v>
      </c>
      <c r="J95" s="2" t="s">
        <v>57</v>
      </c>
      <c r="K95" s="2" t="s">
        <v>57</v>
      </c>
      <c r="L95" s="2" t="s">
        <v>57</v>
      </c>
      <c r="M95" s="2" t="s">
        <v>57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57</v>
      </c>
      <c r="W95" s="2" t="s">
        <v>57</v>
      </c>
    </row>
    <row r="96" spans="1:23" x14ac:dyDescent="0.3">
      <c r="A96" t="str">
        <f>"totalActions: "&amp;$X$4&amp;","</f>
        <v>totalActions: ,</v>
      </c>
      <c r="B96" t="str">
        <f>"totalActions: "&amp;$X$15&amp;","</f>
        <v>totalActions: ,</v>
      </c>
      <c r="C96" t="str">
        <f>"totalActions: "&amp;$X$9&amp;","</f>
        <v>totalActions: ,</v>
      </c>
      <c r="D96" t="str">
        <f>"totalActions: "&amp;$X$24&amp;","</f>
        <v>totalActions: ,</v>
      </c>
      <c r="E96" t="str">
        <f>"totalActions: "&amp;$X$12&amp;","</f>
        <v>totalActions: ,</v>
      </c>
      <c r="F96" t="str">
        <f>"totalActions: "&amp;$X$22&amp;","</f>
        <v>totalActions: ,</v>
      </c>
      <c r="G96" t="str">
        <f>"totalActions: "&amp;$X$3&amp;","</f>
        <v>totalActions: ,</v>
      </c>
      <c r="H96" t="str">
        <f>"totalActions: "&amp;$X$7&amp;","</f>
        <v>totalActions: ,</v>
      </c>
      <c r="I96" t="str">
        <f>"totalActions: "&amp;$X$8&amp;","</f>
        <v>totalActions: ,</v>
      </c>
      <c r="J96" t="str">
        <f>"totalActions: "&amp;$X$23&amp;","</f>
        <v>totalActions: ,</v>
      </c>
      <c r="K96" t="str">
        <f>"totalActions: "&amp;$X$20&amp;","</f>
        <v>totalActions: ,</v>
      </c>
      <c r="L96" t="str">
        <f>"totalActions: "&amp;$X$14&amp;","</f>
        <v>totalActions: ,</v>
      </c>
      <c r="M96" t="str">
        <f>"totalActions: "&amp;$X$21&amp;","</f>
        <v>totalActions: ,</v>
      </c>
      <c r="N96" t="str">
        <f>"totalActions: "&amp;$X$11&amp;","</f>
        <v>totalActions: ,</v>
      </c>
      <c r="O96" t="str">
        <f>"totalActions: "&amp;$X$13&amp;","</f>
        <v>totalActions: ,</v>
      </c>
      <c r="P96" t="str">
        <f>"totalActions: "&amp;$X$5&amp;","</f>
        <v>totalActions: ,</v>
      </c>
      <c r="Q96" t="str">
        <f>"totalActions: "&amp;$X$10&amp;","</f>
        <v>totalActions: ,</v>
      </c>
      <c r="R96" t="str">
        <f>"totalActions: "&amp;$X$2&amp;","</f>
        <v>totalActions: ,</v>
      </c>
      <c r="S96" t="str">
        <f>"totalActions: "&amp;$X$19&amp;","</f>
        <v>totalActions: ,</v>
      </c>
      <c r="T96" t="str">
        <f>"totalActions: "&amp;$X$17&amp;","</f>
        <v>totalActions: ,</v>
      </c>
      <c r="U96" t="str">
        <f>"totalActions: "&amp;$X$18&amp;","</f>
        <v>totalActions: ,</v>
      </c>
      <c r="V96" t="str">
        <f>"totalActions: "&amp;$X$16&amp;","</f>
        <v>totalActions: ,</v>
      </c>
      <c r="W96" t="str">
        <f>"totalActions: "&amp;$X$6&amp;","</f>
        <v>totalActions: ,</v>
      </c>
    </row>
    <row r="97" spans="1:23" x14ac:dyDescent="0.3">
      <c r="A97" t="str">
        <f>"actionsPerMinute: "&amp;TEXT($Y$4,"0.00")&amp;","</f>
        <v>actionsPerMinute: 0.00,</v>
      </c>
      <c r="B97" t="str">
        <f>"actionsPerMinute: "&amp;TEXT($Y$15,"0.00")&amp;","</f>
        <v>actionsPerMinute: 0.00,</v>
      </c>
      <c r="C97" t="str">
        <f>"actionsPerMinute: "&amp;TEXT($Y$9,"0.00")&amp;","</f>
        <v>actionsPerMinute: 0.00,</v>
      </c>
      <c r="D97" t="str">
        <f>"actionsPerMinute: "&amp;TEXT($Y$24,"0.00")&amp;","</f>
        <v>actionsPerMinute: 0.00,</v>
      </c>
      <c r="E97" t="str">
        <f>"actionsPerMinute: "&amp;TEXT($Y$12,"0.00")&amp;","</f>
        <v>actionsPerMinute: 0.00,</v>
      </c>
      <c r="F97" t="str">
        <f>"actionsPerMinute: "&amp;TEXT($Y$22,"0.00")&amp;","</f>
        <v>actionsPerMinute: 0.00,</v>
      </c>
      <c r="G97" t="str">
        <f>"actionsPerMinute: "&amp;TEXT($Y$3,"0.00")&amp;","</f>
        <v>actionsPerMinute: 0.00,</v>
      </c>
      <c r="H97" t="str">
        <f>"actionsPerMinute: "&amp;TEXT($Y$7,"0.00")&amp;","</f>
        <v>actionsPerMinute: 0.00,</v>
      </c>
      <c r="I97" t="str">
        <f>"actionsPerMinute: "&amp;TEXT($Y$8,"0.00")&amp;","</f>
        <v>actionsPerMinute: 0.00,</v>
      </c>
      <c r="J97" t="str">
        <f>"actionsPerMinute: "&amp;TEXT($Y$23,"0.00")&amp;","</f>
        <v>actionsPerMinute: 0.00,</v>
      </c>
      <c r="K97" t="str">
        <f>"actionsPerMinute: "&amp;TEXT($Y$20,"0.00")&amp;","</f>
        <v>actionsPerMinute: 0.00,</v>
      </c>
      <c r="L97" t="str">
        <f>"actionsPerMinute: "&amp;TEXT($Y$14,"0.00")&amp;","</f>
        <v>actionsPerMinute: 0.00,</v>
      </c>
      <c r="M97" t="str">
        <f>"actionsPerMinute: "&amp;TEXT($Y$21,"0.00")&amp;","</f>
        <v>actionsPerMinute: 0.00,</v>
      </c>
      <c r="N97" t="str">
        <f>"actionsPerMinute: "&amp;TEXT($Y$11,"0.00")&amp;","</f>
        <v>actionsPerMinute: 0.00,</v>
      </c>
      <c r="O97" t="str">
        <f>"actionsPerMinute: "&amp;TEXT($Y$13,"0.00")&amp;","</f>
        <v>actionsPerMinute: 0.00,</v>
      </c>
      <c r="P97" t="str">
        <f>"actionsPerMinute: "&amp;TEXT($Y$5,"0.00")&amp;","</f>
        <v>actionsPerMinute: 0.00,</v>
      </c>
      <c r="Q97" t="str">
        <f>"actionsPerMinute: "&amp;TEXT($Y$10,"0.00")&amp;","</f>
        <v>actionsPerMinute: 0.00,</v>
      </c>
      <c r="R97" t="str">
        <f>"actionsPerMinute: "&amp;TEXT($Y$2,"0.00")&amp;","</f>
        <v>actionsPerMinute: 0.00,</v>
      </c>
      <c r="S97" t="str">
        <f>"actionsPerMinute: "&amp;TEXT($Y$19,"0.00")&amp;","</f>
        <v>actionsPerMinute: 0.00,</v>
      </c>
      <c r="T97" t="str">
        <f>"actionsPerMinute: "&amp;TEXT($Y$17,"0.00")&amp;","</f>
        <v>actionsPerMinute: 0.00,</v>
      </c>
      <c r="U97" t="str">
        <f>"actionsPerMinute: "&amp;TEXT($Y$18,"0.00")&amp;","</f>
        <v>actionsPerMinute: 0.00,</v>
      </c>
      <c r="V97" t="str">
        <f>"actionsPerMinute: "&amp;TEXT($Y$16,"0.00")&amp;","</f>
        <v>actionsPerMinute: 0.00,</v>
      </c>
      <c r="W97" t="str">
        <f>"actionsPerMinute: "&amp;TEXT($Y$6,"0.00")&amp;","</f>
        <v>actionsPerMinute: 0.00,</v>
      </c>
    </row>
    <row r="98" spans="1:23" x14ac:dyDescent="0.3">
      <c r="A98" t="str">
        <f>"tackles: "&amp;$P$4&amp;","</f>
        <v>tackles: ,</v>
      </c>
      <c r="B98" t="str">
        <f>"tackles: "&amp;$P$15&amp;","</f>
        <v>tackles: ,</v>
      </c>
      <c r="C98" t="str">
        <f>"tackles: "&amp;$P$9&amp;","</f>
        <v>tackles: ,</v>
      </c>
      <c r="D98" t="str">
        <f>"tackles: "&amp;$P$24&amp;","</f>
        <v>tackles: ,</v>
      </c>
      <c r="E98" t="str">
        <f>"tackles: "&amp;$P$12&amp;","</f>
        <v>tackles: ,</v>
      </c>
      <c r="F98" t="str">
        <f>"tackles: "&amp;$P$22&amp;","</f>
        <v>tackles: ,</v>
      </c>
      <c r="G98" t="str">
        <f>"tackles: "&amp;$P$3&amp;","</f>
        <v>tackles: ,</v>
      </c>
      <c r="H98" t="str">
        <f>"tackles: "&amp;$P$7&amp;","</f>
        <v>tackles: ,</v>
      </c>
      <c r="I98" t="str">
        <f>"tackles: "&amp;$P$8&amp;","</f>
        <v>tackles: ,</v>
      </c>
      <c r="J98" t="str">
        <f>"tackles: "&amp;$P$23&amp;","</f>
        <v>tackles: ,</v>
      </c>
      <c r="K98" t="str">
        <f>"tackles: "&amp;$P$20&amp;","</f>
        <v>tackles: ,</v>
      </c>
      <c r="L98" t="str">
        <f>"tackles: "&amp;$P$14&amp;","</f>
        <v>tackles: ,</v>
      </c>
      <c r="M98" t="str">
        <f>"tackles: "&amp;$P$21&amp;","</f>
        <v>tackles: ,</v>
      </c>
      <c r="N98" t="str">
        <f>"tackles: "&amp;$P$11&amp;","</f>
        <v>tackles: ,</v>
      </c>
      <c r="O98" t="str">
        <f>"tackles: "&amp;$P$13&amp;","</f>
        <v>tackles: ,</v>
      </c>
      <c r="P98" t="str">
        <f>"tackles: "&amp;$P$5&amp;","</f>
        <v>tackles: ,</v>
      </c>
      <c r="Q98" t="str">
        <f>"tackles: "&amp;$P$10&amp;","</f>
        <v>tackles: ,</v>
      </c>
      <c r="R98" t="str">
        <f>"tackles: "&amp;$P$2&amp;","</f>
        <v>tackles: ,</v>
      </c>
      <c r="S98" t="str">
        <f>"tackles: "&amp;$P$19&amp;","</f>
        <v>tackles: ,</v>
      </c>
      <c r="T98" t="str">
        <f>"tackles: "&amp;$P$17&amp;","</f>
        <v>tackles: ,</v>
      </c>
      <c r="U98" t="str">
        <f>"tackles: "&amp;$P$18&amp;","</f>
        <v>tackles: ,</v>
      </c>
      <c r="V98" t="str">
        <f>"tackles: "&amp;$P$16&amp;","</f>
        <v>tackles: ,</v>
      </c>
      <c r="W98" t="str">
        <f>"tackles: "&amp;$P$6&amp;","</f>
        <v>tackles: ,</v>
      </c>
    </row>
    <row r="99" spans="1:23" x14ac:dyDescent="0.3">
      <c r="A99" t="str">
        <f>"interceptions: "&amp;$Q$4&amp;","</f>
        <v>interceptions: ,</v>
      </c>
      <c r="B99" t="str">
        <f>"interceptions: "&amp;$Q$15&amp;","</f>
        <v>interceptions: ,</v>
      </c>
      <c r="C99" t="str">
        <f>"interceptions: "&amp;$Q$9&amp;","</f>
        <v>interceptions: ,</v>
      </c>
      <c r="D99" t="str">
        <f>"interceptions: "&amp;$Q$24&amp;","</f>
        <v>interceptions: ,</v>
      </c>
      <c r="E99" t="str">
        <f>"interceptions: "&amp;$Q$12&amp;","</f>
        <v>interceptions: ,</v>
      </c>
      <c r="F99" t="str">
        <f>"interceptions: "&amp;$Q$22&amp;","</f>
        <v>interceptions: ,</v>
      </c>
      <c r="G99" t="str">
        <f>"interceptions: "&amp;$Q$3&amp;","</f>
        <v>interceptions: ,</v>
      </c>
      <c r="H99" t="str">
        <f>"interceptions: "&amp;$Q$7&amp;","</f>
        <v>interceptions: ,</v>
      </c>
      <c r="I99" t="str">
        <f>"interceptions: "&amp;$Q$8&amp;","</f>
        <v>interceptions: ,</v>
      </c>
      <c r="J99" t="str">
        <f>"interceptions: "&amp;$Q$23&amp;","</f>
        <v>interceptions: ,</v>
      </c>
      <c r="K99" t="str">
        <f>"interceptions: "&amp;$Q$20&amp;","</f>
        <v>interceptions: ,</v>
      </c>
      <c r="L99" t="str">
        <f>"interceptions: "&amp;$Q$14&amp;","</f>
        <v>interceptions: ,</v>
      </c>
      <c r="M99" t="str">
        <f>"interceptions: "&amp;$Q$21&amp;","</f>
        <v>interceptions: ,</v>
      </c>
      <c r="N99" t="str">
        <f>"interceptions: "&amp;$Q$11&amp;","</f>
        <v>interceptions: ,</v>
      </c>
      <c r="O99" t="str">
        <f>"interceptions: "&amp;$Q$13&amp;","</f>
        <v>interceptions: ,</v>
      </c>
      <c r="P99" t="str">
        <f>"interceptions: "&amp;$Q$5&amp;","</f>
        <v>interceptions: ,</v>
      </c>
      <c r="Q99" t="str">
        <f>"interceptions: "&amp;$Q$10&amp;","</f>
        <v>interceptions: ,</v>
      </c>
      <c r="R99" t="str">
        <f>"interceptions: "&amp;$Q$2&amp;","</f>
        <v>interceptions: ,</v>
      </c>
      <c r="S99" t="str">
        <f>"interceptions: "&amp;$Q$19&amp;","</f>
        <v>interceptions: ,</v>
      </c>
      <c r="T99" t="str">
        <f>"interceptions: "&amp;$Q$17&amp;","</f>
        <v>interceptions: ,</v>
      </c>
      <c r="U99" t="str">
        <f>"interceptions: "&amp;$Q$18&amp;","</f>
        <v>interceptions: ,</v>
      </c>
      <c r="V99" t="str">
        <f>"interceptions: "&amp;$Q$16&amp;","</f>
        <v>interceptions: ,</v>
      </c>
      <c r="W99" t="str">
        <f>"interceptions: "&amp;$Q$6&amp;","</f>
        <v>interceptions: ,</v>
      </c>
    </row>
    <row r="100" spans="1:23" x14ac:dyDescent="0.3">
      <c r="A100" t="str">
        <f>"fhRegains: "&amp;$R$4&amp;","</f>
        <v>fhRegains: ,</v>
      </c>
      <c r="B100" t="str">
        <f>"fhRegains: "&amp;$R$15&amp;","</f>
        <v>fhRegains: ,</v>
      </c>
      <c r="C100" t="str">
        <f>"fhRegains: "&amp;$R$9&amp;","</f>
        <v>fhRegains: ,</v>
      </c>
      <c r="D100" t="str">
        <f>"fhRegains: "&amp;$R$24&amp;","</f>
        <v>fhRegains: ,</v>
      </c>
      <c r="E100" t="str">
        <f>"fhRegains: "&amp;$R$12&amp;","</f>
        <v>fhRegains: ,</v>
      </c>
      <c r="F100" t="str">
        <f>"fhRegains: "&amp;$R$22&amp;","</f>
        <v>fhRegains: ,</v>
      </c>
      <c r="G100" t="str">
        <f>"fhRegains: "&amp;$R$3&amp;","</f>
        <v>fhRegains: ,</v>
      </c>
      <c r="H100" t="str">
        <f>"fhRegains: "&amp;$R$7&amp;","</f>
        <v>fhRegains: ,</v>
      </c>
      <c r="I100" t="str">
        <f>"fhRegains: "&amp;$R$8&amp;","</f>
        <v>fhRegains: ,</v>
      </c>
      <c r="J100" t="str">
        <f>"fhRegains: "&amp;$R$23&amp;","</f>
        <v>fhRegains: ,</v>
      </c>
      <c r="K100" t="str">
        <f>"fhRegains: "&amp;$R$20&amp;","</f>
        <v>fhRegains: ,</v>
      </c>
      <c r="L100" t="str">
        <f>"fhRegains: "&amp;$R$14&amp;","</f>
        <v>fhRegains: ,</v>
      </c>
      <c r="M100" t="str">
        <f>"fhRegains: "&amp;$R$21&amp;","</f>
        <v>fhRegains: ,</v>
      </c>
      <c r="N100" t="str">
        <f>"fhRegains: "&amp;$R$11&amp;","</f>
        <v>fhRegains: ,</v>
      </c>
      <c r="O100" t="str">
        <f>"fhRegains: "&amp;$R$13&amp;","</f>
        <v>fhRegains: ,</v>
      </c>
      <c r="P100" t="str">
        <f>"fhRegains: "&amp;$R$5&amp;","</f>
        <v>fhRegains: ,</v>
      </c>
      <c r="Q100" t="str">
        <f>"fhRegains: "&amp;$R$10&amp;","</f>
        <v>fhRegains: ,</v>
      </c>
      <c r="R100" t="str">
        <f>"fhRegains: "&amp;$R$2&amp;","</f>
        <v>fhRegains: ,</v>
      </c>
      <c r="S100" t="str">
        <f>"fhRegains: "&amp;$R$19&amp;","</f>
        <v>fhRegains: ,</v>
      </c>
      <c r="T100" t="str">
        <f>"fhRegains: "&amp;$R$17&amp;","</f>
        <v>fhRegains: ,</v>
      </c>
      <c r="U100" t="str">
        <f>"fhRegains: "&amp;$R$18&amp;","</f>
        <v>fhRegains: ,</v>
      </c>
      <c r="V100" t="str">
        <f>"fhRegains: "&amp;$R$16&amp;","</f>
        <v>fhRegains: ,</v>
      </c>
      <c r="W100" t="str">
        <f>"fhRegains: "&amp;$R$6&amp;","</f>
        <v>fhRegains: ,</v>
      </c>
    </row>
    <row r="101" spans="1:23" x14ac:dyDescent="0.3">
      <c r="A101" t="str">
        <f>"blocks: "&amp;$S$4&amp;","</f>
        <v>blocks: ,</v>
      </c>
      <c r="B101" t="str">
        <f>"blocks: "&amp;$S$15&amp;","</f>
        <v>blocks: ,</v>
      </c>
      <c r="C101" t="str">
        <f>"blocks: "&amp;$S$9&amp;","</f>
        <v>blocks: ,</v>
      </c>
      <c r="D101" t="str">
        <f>"blocks: "&amp;$S$24&amp;","</f>
        <v>blocks: ,</v>
      </c>
      <c r="E101" t="str">
        <f>"blocks: "&amp;$S$12&amp;","</f>
        <v>blocks: ,</v>
      </c>
      <c r="F101" t="str">
        <f>"blocks: "&amp;$S$22&amp;","</f>
        <v>blocks: ,</v>
      </c>
      <c r="G101" t="str">
        <f>"blocks: "&amp;$S$3&amp;","</f>
        <v>blocks: ,</v>
      </c>
      <c r="H101" t="str">
        <f>"blocks: "&amp;$S$7&amp;","</f>
        <v>blocks: ,</v>
      </c>
      <c r="I101" t="str">
        <f>"blocks: "&amp;$S$8&amp;","</f>
        <v>blocks: ,</v>
      </c>
      <c r="J101" t="str">
        <f>"blocks: "&amp;$S$23&amp;","</f>
        <v>blocks: ,</v>
      </c>
      <c r="K101" t="str">
        <f>"blocks: "&amp;$S$20&amp;","</f>
        <v>blocks: ,</v>
      </c>
      <c r="L101" t="str">
        <f>"blocks: "&amp;$S$14&amp;","</f>
        <v>blocks: ,</v>
      </c>
      <c r="M101" t="str">
        <f>"blocks: "&amp;$S$21&amp;","</f>
        <v>blocks: ,</v>
      </c>
      <c r="N101" t="str">
        <f>"blocks: "&amp;$S$11&amp;","</f>
        <v>blocks: ,</v>
      </c>
      <c r="O101" t="str">
        <f>"blocks: "&amp;$S$13&amp;","</f>
        <v>blocks: ,</v>
      </c>
      <c r="P101" t="str">
        <f>"blocks: "&amp;$S$5&amp;","</f>
        <v>blocks: ,</v>
      </c>
      <c r="Q101" t="str">
        <f>"blocks: "&amp;$S$10&amp;","</f>
        <v>blocks: ,</v>
      </c>
      <c r="R101" t="str">
        <f>"blocks: "&amp;$S$2&amp;","</f>
        <v>blocks: ,</v>
      </c>
      <c r="S101" t="str">
        <f>"blocks: "&amp;$S$19&amp;","</f>
        <v>blocks: ,</v>
      </c>
      <c r="T101" t="str">
        <f>"blocks: "&amp;$S$17&amp;","</f>
        <v>blocks: ,</v>
      </c>
      <c r="U101" t="str">
        <f>"blocks: "&amp;$S$18&amp;","</f>
        <v>blocks: ,</v>
      </c>
      <c r="V101" t="str">
        <f>"blocks: "&amp;$S$16&amp;","</f>
        <v>blocks: ,</v>
      </c>
      <c r="W101" t="str">
        <f>"blocks: "&amp;$S$6&amp;","</f>
        <v>blocks: ,</v>
      </c>
    </row>
    <row r="102" spans="1:23" x14ac:dyDescent="0.3">
      <c r="A102" t="str">
        <f>"clearances: "&amp;$T$4&amp;","</f>
        <v>clearances: ,</v>
      </c>
      <c r="B102" t="str">
        <f>"clearances: "&amp;$T$15&amp;","</f>
        <v>clearances: ,</v>
      </c>
      <c r="C102" t="str">
        <f>"clearances: "&amp;$T$9&amp;","</f>
        <v>clearances: ,</v>
      </c>
      <c r="D102" t="str">
        <f>"clearances: "&amp;$T$24&amp;","</f>
        <v>clearances: ,</v>
      </c>
      <c r="E102" t="str">
        <f>"clearances: "&amp;$T$12&amp;","</f>
        <v>clearances: ,</v>
      </c>
      <c r="F102" t="str">
        <f>"clearances: "&amp;$T$22&amp;","</f>
        <v>clearances: ,</v>
      </c>
      <c r="G102" t="str">
        <f>"clearances: "&amp;$T$3&amp;","</f>
        <v>clearances: ,</v>
      </c>
      <c r="H102" t="str">
        <f>"clearances: "&amp;$T$7&amp;","</f>
        <v>clearances: ,</v>
      </c>
      <c r="I102" t="str">
        <f>"clearances: "&amp;$T$8&amp;","</f>
        <v>clearances: ,</v>
      </c>
      <c r="J102" t="str">
        <f>"clearances: "&amp;$T$23&amp;","</f>
        <v>clearances: ,</v>
      </c>
      <c r="K102" t="str">
        <f>"clearances: "&amp;$T$20&amp;","</f>
        <v>clearances: ,</v>
      </c>
      <c r="L102" t="str">
        <f>"clearances: "&amp;$T$14&amp;","</f>
        <v>clearances: ,</v>
      </c>
      <c r="M102" t="str">
        <f>"clearances: "&amp;$T$21&amp;","</f>
        <v>clearances: ,</v>
      </c>
      <c r="N102" t="str">
        <f>"clearances: "&amp;$T$11&amp;","</f>
        <v>clearances: ,</v>
      </c>
      <c r="O102" t="str">
        <f>"clearances: "&amp;$T$13&amp;","</f>
        <v>clearances: ,</v>
      </c>
      <c r="P102" t="str">
        <f>"clearances: "&amp;$T$5&amp;","</f>
        <v>clearances: ,</v>
      </c>
      <c r="Q102" t="str">
        <f>"clearances: "&amp;$T$10&amp;","</f>
        <v>clearances: ,</v>
      </c>
      <c r="R102" t="str">
        <f>"clearances: "&amp;$T$2&amp;","</f>
        <v>clearances: ,</v>
      </c>
      <c r="S102" t="str">
        <f>"clearances: "&amp;$T$19&amp;","</f>
        <v>clearances: ,</v>
      </c>
      <c r="T102" t="str">
        <f>"clearances: "&amp;$T$17&amp;","</f>
        <v>clearances: ,</v>
      </c>
      <c r="U102" t="str">
        <f>"clearances: "&amp;$T$18&amp;","</f>
        <v>clearances: ,</v>
      </c>
      <c r="V102" t="str">
        <f>"clearances: "&amp;$T$16&amp;","</f>
        <v>clearances: ,</v>
      </c>
      <c r="W102" t="str">
        <f>"clearances: "&amp;$T$6&amp;","</f>
        <v>clearances: ,</v>
      </c>
    </row>
    <row r="103" spans="1:23" x14ac:dyDescent="0.3">
      <c r="A103" t="str">
        <f>"separations: "&amp;$U$4&amp;","</f>
        <v>separations: ,</v>
      </c>
      <c r="B103" t="str">
        <f>"separations: "&amp;$U$15&amp;","</f>
        <v>separations: ,</v>
      </c>
      <c r="C103" t="str">
        <f>"separations: "&amp;$U$9&amp;","</f>
        <v>separations: ,</v>
      </c>
      <c r="D103" t="str">
        <f>"separations: "&amp;$U$24&amp;","</f>
        <v>separations: ,</v>
      </c>
      <c r="E103" t="str">
        <f>"separations: "&amp;$U$12&amp;","</f>
        <v>separations: ,</v>
      </c>
      <c r="F103" t="str">
        <f>"separations: "&amp;$U$22&amp;","</f>
        <v>separations: ,</v>
      </c>
      <c r="G103" t="str">
        <f>"separations: "&amp;$U$3&amp;","</f>
        <v>separations: ,</v>
      </c>
      <c r="H103" t="str">
        <f>"separations: "&amp;$U$7&amp;","</f>
        <v>separations: ,</v>
      </c>
      <c r="I103" t="str">
        <f>"separations: "&amp;$U$8&amp;","</f>
        <v>separations: ,</v>
      </c>
      <c r="J103" t="str">
        <f>"separations: "&amp;$U$23&amp;","</f>
        <v>separations: ,</v>
      </c>
      <c r="K103" t="str">
        <f>"separations: "&amp;$U$20&amp;","</f>
        <v>separations: ,</v>
      </c>
      <c r="L103" t="str">
        <f>"separations: "&amp;$U$14&amp;","</f>
        <v>separations: ,</v>
      </c>
      <c r="M103" t="str">
        <f>"separations: "&amp;$U$21&amp;","</f>
        <v>separations: ,</v>
      </c>
      <c r="N103" t="str">
        <f>"separations: "&amp;$U$11&amp;","</f>
        <v>separations: ,</v>
      </c>
      <c r="O103" t="str">
        <f>"separations: "&amp;$U$13&amp;","</f>
        <v>separations: ,</v>
      </c>
      <c r="P103" t="str">
        <f>"separations: "&amp;$U$5&amp;","</f>
        <v>separations: ,</v>
      </c>
      <c r="Q103" t="str">
        <f>"separations: "&amp;$U$10&amp;","</f>
        <v>separations: ,</v>
      </c>
      <c r="R103" t="str">
        <f>"separations: "&amp;$U$2&amp;","</f>
        <v>separations: ,</v>
      </c>
      <c r="S103" t="str">
        <f>"separations: "&amp;$U$19&amp;","</f>
        <v>separations: ,</v>
      </c>
      <c r="T103" t="str">
        <f>"separations: "&amp;$U$17&amp;","</f>
        <v>separations: ,</v>
      </c>
      <c r="U103" t="str">
        <f>"separations: "&amp;$U$18&amp;","</f>
        <v>separations: ,</v>
      </c>
      <c r="V103" t="str">
        <f>"separations: "&amp;$U$16&amp;","</f>
        <v>separations: ,</v>
      </c>
      <c r="W103" t="str">
        <f>"separations: "&amp;$U$6&amp;","</f>
        <v>separations: ,</v>
      </c>
    </row>
    <row r="104" spans="1:23" x14ac:dyDescent="0.3">
      <c r="A104" t="str">
        <f>"headers: "&amp;$V$4&amp;","</f>
        <v>headers: ,</v>
      </c>
      <c r="B104" t="str">
        <f>"headers: "&amp;$V$15&amp;","</f>
        <v>headers: ,</v>
      </c>
      <c r="C104" t="str">
        <f>"headers: "&amp;$V$9&amp;","</f>
        <v>headers: ,</v>
      </c>
      <c r="D104" t="str">
        <f>"headers: "&amp;$V$24&amp;","</f>
        <v>headers: ,</v>
      </c>
      <c r="E104" t="str">
        <f>"headers: "&amp;$V$12&amp;","</f>
        <v>headers: ,</v>
      </c>
      <c r="F104" t="str">
        <f>"headers: "&amp;$V$22&amp;","</f>
        <v>headers: ,</v>
      </c>
      <c r="G104" t="str">
        <f>"headers: "&amp;$V$3&amp;","</f>
        <v>headers: ,</v>
      </c>
      <c r="H104" t="str">
        <f>"headers: "&amp;$V$7&amp;","</f>
        <v>headers: ,</v>
      </c>
      <c r="I104" t="str">
        <f>"headers: "&amp;$V$8&amp;","</f>
        <v>headers: ,</v>
      </c>
      <c r="J104" t="str">
        <f>"headers: "&amp;$V$23&amp;","</f>
        <v>headers: ,</v>
      </c>
      <c r="K104" t="str">
        <f>"headers: "&amp;$V$20&amp;","</f>
        <v>headers: ,</v>
      </c>
      <c r="L104" t="str">
        <f>"headers: "&amp;$V$14&amp;","</f>
        <v>headers: ,</v>
      </c>
      <c r="M104" t="str">
        <f>"headers: "&amp;$V$21&amp;","</f>
        <v>headers: ,</v>
      </c>
      <c r="N104" t="str">
        <f>"headers: "&amp;$V$11&amp;","</f>
        <v>headers: ,</v>
      </c>
      <c r="O104" t="str">
        <f>"headers: "&amp;$V$13&amp;","</f>
        <v>headers: ,</v>
      </c>
      <c r="P104" t="str">
        <f>"headers: "&amp;$V$5&amp;","</f>
        <v>headers: ,</v>
      </c>
      <c r="Q104" t="str">
        <f>"headers: "&amp;$V$10&amp;","</f>
        <v>headers: ,</v>
      </c>
      <c r="R104" t="str">
        <f>"headers: "&amp;$V$2&amp;","</f>
        <v>headers: ,</v>
      </c>
      <c r="S104" t="str">
        <f>"headers: "&amp;$V$19&amp;","</f>
        <v>headers: ,</v>
      </c>
      <c r="T104" t="str">
        <f>"headers: "&amp;$V$17&amp;","</f>
        <v>headers: ,</v>
      </c>
      <c r="U104" t="str">
        <f>"headers: "&amp;$V$18&amp;","</f>
        <v>headers: ,</v>
      </c>
      <c r="V104" t="str">
        <f>"headers: "&amp;$V$16&amp;","</f>
        <v>headers: ,</v>
      </c>
      <c r="W104" t="str">
        <f>"headers: "&amp;$V$6&amp;","</f>
        <v>headers: ,</v>
      </c>
    </row>
    <row r="105" spans="1:23" x14ac:dyDescent="0.3">
      <c r="A105" t="str">
        <f>"stopForwardCA: "&amp;$W$4&amp;","</f>
        <v>stopForwardCA: ,</v>
      </c>
      <c r="B105" t="str">
        <f>"stopForwardCA: "&amp;$W$15&amp;","</f>
        <v>stopForwardCA: ,</v>
      </c>
      <c r="C105" t="str">
        <f>"stopForwardCA: "&amp;$W$9&amp;","</f>
        <v>stopForwardCA: ,</v>
      </c>
      <c r="D105" t="str">
        <f>"stopForwardCA: "&amp;$W$24&amp;","</f>
        <v>stopForwardCA: ,</v>
      </c>
      <c r="E105" t="str">
        <f>"stopForwardCA: "&amp;$W$12&amp;","</f>
        <v>stopForwardCA: ,</v>
      </c>
      <c r="F105" t="str">
        <f>"stopForwardCA: "&amp;$W$22&amp;","</f>
        <v>stopForwardCA: ,</v>
      </c>
      <c r="G105" t="str">
        <f>"stopForwardCA: "&amp;$W$3&amp;","</f>
        <v>stopForwardCA: ,</v>
      </c>
      <c r="H105" t="str">
        <f>"stopForwardCA: "&amp;$W$7&amp;","</f>
        <v>stopForwardCA: ,</v>
      </c>
      <c r="I105" t="str">
        <f>"stopForwardCA: "&amp;$W$8&amp;","</f>
        <v>stopForwardCA: ,</v>
      </c>
      <c r="J105" t="str">
        <f>"stopForwardCA: "&amp;$W$23&amp;","</f>
        <v>stopForwardCA: ,</v>
      </c>
      <c r="K105" t="str">
        <f>"stopForwardCA: "&amp;$W$20&amp;","</f>
        <v>stopForwardCA: ,</v>
      </c>
      <c r="L105" t="str">
        <f>"stopForwardCA: "&amp;$W$14&amp;","</f>
        <v>stopForwardCA: ,</v>
      </c>
      <c r="M105" t="str">
        <f>"stopForwardCA: "&amp;$W$21&amp;","</f>
        <v>stopForwardCA: ,</v>
      </c>
      <c r="N105" t="str">
        <f>"stopForwardCA: "&amp;$W$11&amp;","</f>
        <v>stopForwardCA: ,</v>
      </c>
      <c r="O105" t="str">
        <f>"stopForwardCA: "&amp;$W$13&amp;","</f>
        <v>stopForwardCA: ,</v>
      </c>
      <c r="P105" t="str">
        <f>"stopForwardCA: "&amp;$W$5&amp;","</f>
        <v>stopForwardCA: ,</v>
      </c>
      <c r="Q105" t="str">
        <f>"stopForwardCA: "&amp;$W$10&amp;","</f>
        <v>stopForwardCA: ,</v>
      </c>
      <c r="R105" t="str">
        <f>"stopForwardCA: "&amp;$W$2&amp;","</f>
        <v>stopForwardCA: ,</v>
      </c>
      <c r="S105" t="str">
        <f>"stopForwardCA: "&amp;$W$19&amp;","</f>
        <v>stopForwardCA: ,</v>
      </c>
      <c r="T105" t="str">
        <f>"stopForwardCA: "&amp;$W$17&amp;","</f>
        <v>stopForwardCA: ,</v>
      </c>
      <c r="U105" t="str">
        <f>"stopForwardCA: "&amp;$W$18&amp;","</f>
        <v>stopForwardCA: ,</v>
      </c>
      <c r="V105" t="str">
        <f>"stopForwardCA: "&amp;$W$16&amp;","</f>
        <v>stopForwardCA: ,</v>
      </c>
      <c r="W105" t="str">
        <f>"stopForwardCA: "&amp;$W$6&amp;","</f>
        <v>stopForwardCA: ,</v>
      </c>
    </row>
    <row r="107" spans="1:23" x14ac:dyDescent="0.3">
      <c r="A107" t="s">
        <v>27</v>
      </c>
      <c r="B107" t="s">
        <v>38</v>
      </c>
      <c r="C107" t="s">
        <v>32</v>
      </c>
      <c r="D107" t="s">
        <v>47</v>
      </c>
      <c r="E107" t="s">
        <v>35</v>
      </c>
      <c r="F107" t="s">
        <v>45</v>
      </c>
      <c r="G107" t="s">
        <v>26</v>
      </c>
      <c r="H107" t="s">
        <v>50</v>
      </c>
      <c r="I107" t="s">
        <v>51</v>
      </c>
      <c r="J107" t="s">
        <v>46</v>
      </c>
      <c r="K107" t="s">
        <v>43</v>
      </c>
      <c r="L107" t="s">
        <v>37</v>
      </c>
      <c r="M107" t="s">
        <v>52</v>
      </c>
      <c r="N107" t="s">
        <v>34</v>
      </c>
      <c r="O107" t="s">
        <v>36</v>
      </c>
      <c r="P107" t="s">
        <v>28</v>
      </c>
      <c r="Q107" t="s">
        <v>33</v>
      </c>
      <c r="R107" t="s">
        <v>25</v>
      </c>
      <c r="S107" t="s">
        <v>53</v>
      </c>
      <c r="T107" t="s">
        <v>40</v>
      </c>
      <c r="U107" t="s">
        <v>41</v>
      </c>
      <c r="V107" t="s">
        <v>39</v>
      </c>
      <c r="W107" t="s">
        <v>29</v>
      </c>
    </row>
    <row r="108" spans="1:23" x14ac:dyDescent="0.3">
      <c r="A108" t="str">
        <f>"xG: 0,"</f>
        <v>xG: 0,</v>
      </c>
      <c r="B108" t="str">
        <f t="shared" ref="B108:W108" si="3">"xG: 0,"</f>
        <v>xG: 0,</v>
      </c>
      <c r="C108" t="str">
        <f t="shared" si="3"/>
        <v>xG: 0,</v>
      </c>
      <c r="D108" t="str">
        <f t="shared" si="3"/>
        <v>xG: 0,</v>
      </c>
      <c r="E108" t="str">
        <f t="shared" si="3"/>
        <v>xG: 0,</v>
      </c>
      <c r="F108" t="str">
        <f t="shared" si="3"/>
        <v>xG: 0,</v>
      </c>
      <c r="G108" t="str">
        <f t="shared" si="3"/>
        <v>xG: 0,</v>
      </c>
      <c r="H108" t="str">
        <f t="shared" si="3"/>
        <v>xG: 0,</v>
      </c>
      <c r="I108" t="str">
        <f t="shared" si="3"/>
        <v>xG: 0,</v>
      </c>
      <c r="J108" t="str">
        <f t="shared" si="3"/>
        <v>xG: 0,</v>
      </c>
      <c r="K108" t="str">
        <f t="shared" si="3"/>
        <v>xG: 0,</v>
      </c>
      <c r="L108" t="str">
        <f t="shared" si="3"/>
        <v>xG: 0,</v>
      </c>
      <c r="M108" t="str">
        <f t="shared" si="3"/>
        <v>xG: 0,</v>
      </c>
      <c r="N108" t="str">
        <f t="shared" si="3"/>
        <v>xG: 0,</v>
      </c>
      <c r="O108" t="str">
        <f t="shared" si="3"/>
        <v>xG: 0,</v>
      </c>
      <c r="P108" t="str">
        <f t="shared" si="3"/>
        <v>xG: 0,</v>
      </c>
      <c r="Q108" t="str">
        <f t="shared" si="3"/>
        <v>xG: 0,</v>
      </c>
      <c r="R108" t="str">
        <f t="shared" si="3"/>
        <v>xG: 0,</v>
      </c>
      <c r="S108" t="str">
        <f t="shared" si="3"/>
        <v>xG: 0,</v>
      </c>
      <c r="T108" t="str">
        <f t="shared" si="3"/>
        <v>xG: 0,</v>
      </c>
      <c r="U108" t="str">
        <f t="shared" si="3"/>
        <v>xG: 0,</v>
      </c>
      <c r="V108" t="str">
        <f t="shared" si="3"/>
        <v>xG: 0,</v>
      </c>
      <c r="W108" t="str">
        <f t="shared" si="3"/>
        <v>xG: 0,</v>
      </c>
    </row>
    <row r="109" spans="1:23" x14ac:dyDescent="0.3">
      <c r="A109" t="str">
        <f>"minutes: "&amp;$B$4&amp;","</f>
        <v>minutes: ,</v>
      </c>
      <c r="B109" t="str">
        <f>"minutes: "&amp;B$15&amp;","</f>
        <v>minutes: ,</v>
      </c>
      <c r="C109" t="str">
        <f>"minutes: "&amp;B$9&amp;","</f>
        <v>minutes: ,</v>
      </c>
      <c r="D109" t="str">
        <f>"minutes: "&amp;B$24&amp;","</f>
        <v>minutes: ,</v>
      </c>
      <c r="E109" t="str">
        <f>"minutes: "&amp;B$12&amp;","</f>
        <v>minutes: ,</v>
      </c>
      <c r="F109" t="str">
        <f>"minutes: "&amp;B$22&amp;","</f>
        <v>minutes: ,</v>
      </c>
      <c r="G109" t="str">
        <f>"minutes: "&amp;B$3&amp;","</f>
        <v>minutes: ,</v>
      </c>
      <c r="H109" t="str">
        <f>"minutes: "&amp;B$7&amp;","</f>
        <v>minutes: ,</v>
      </c>
      <c r="I109" t="str">
        <f>"minutes: "&amp;B$8&amp;","</f>
        <v>minutes: ,</v>
      </c>
      <c r="J109" t="str">
        <f>"minutes: "&amp;B$23&amp;","</f>
        <v>minutes: ,</v>
      </c>
      <c r="K109" t="str">
        <f>"minutes: "&amp;B$20&amp;","</f>
        <v>minutes: ,</v>
      </c>
      <c r="L109" t="str">
        <f>"minutes: "&amp;B$14&amp;","</f>
        <v>minutes: ,</v>
      </c>
      <c r="M109" t="str">
        <f>"minutes: "&amp;B$21&amp;","</f>
        <v>minutes: ,</v>
      </c>
      <c r="N109" t="str">
        <f>"minutes: "&amp;B$11&amp;","</f>
        <v>minutes: ,</v>
      </c>
      <c r="O109" t="str">
        <f>"minutes: "&amp;B$13&amp;","</f>
        <v>minutes: ,</v>
      </c>
      <c r="P109" t="str">
        <f>"minutes: "&amp;B$5&amp;","</f>
        <v>minutes: ,</v>
      </c>
      <c r="Q109" t="str">
        <f>"minutes: "&amp;B$10&amp;","</f>
        <v>minutes: ,</v>
      </c>
      <c r="R109" t="str">
        <f>"minutes: "&amp;B$2&amp;","</f>
        <v>minutes: ,</v>
      </c>
      <c r="S109" t="str">
        <f>"minutes: "&amp;B$19&amp;","</f>
        <v>minutes: ,</v>
      </c>
      <c r="T109" t="str">
        <f>"minutes: "&amp;B$17&amp;","</f>
        <v>minutes: ,</v>
      </c>
      <c r="U109" t="str">
        <f>"minutes: "&amp;B$18&amp;","</f>
        <v>minutes: ,</v>
      </c>
      <c r="V109" t="str">
        <f>"minutes: "&amp;B$16&amp;","</f>
        <v>minutes: ,</v>
      </c>
      <c r="W109" t="str">
        <f>"minutes: "&amp;B$6&amp;","</f>
        <v>minutes: ,</v>
      </c>
    </row>
    <row r="110" spans="1:23" x14ac:dyDescent="0.3">
      <c r="A110" t="str">
        <f>"goals: "&amp;$C$4&amp;","</f>
        <v>goals: ,</v>
      </c>
      <c r="B110" t="str">
        <f>"goals: "&amp;$C$15&amp;","</f>
        <v>goals: ,</v>
      </c>
      <c r="C110" t="str">
        <f>"goals: "&amp;$C$9&amp;","</f>
        <v>goals: ,</v>
      </c>
      <c r="D110" t="str">
        <f>"goals: "&amp;$C$24&amp;","</f>
        <v>goals: ,</v>
      </c>
      <c r="E110" t="str">
        <f>"goals: "&amp;$C$12&amp;","</f>
        <v>goals: ,</v>
      </c>
      <c r="F110" t="str">
        <f>"goals: "&amp;$C$22&amp;","</f>
        <v>goals: ,</v>
      </c>
      <c r="G110" t="str">
        <f>"goals: "&amp;$C$3&amp;","</f>
        <v>goals: ,</v>
      </c>
      <c r="H110" t="str">
        <f>"goals: "&amp;$C$7&amp;","</f>
        <v>goals: ,</v>
      </c>
      <c r="I110" t="str">
        <f>"goals: "&amp;$C$8&amp;","</f>
        <v>goals: ,</v>
      </c>
      <c r="J110" t="str">
        <f>"goals: "&amp;$C$23&amp;","</f>
        <v>goals: ,</v>
      </c>
      <c r="K110" t="str">
        <f>"goals: "&amp;$C$20&amp;","</f>
        <v>goals: ,</v>
      </c>
      <c r="L110" t="str">
        <f>"goals: "&amp;$C$14&amp;","</f>
        <v>goals: ,</v>
      </c>
      <c r="M110" t="str">
        <f>"goals: "&amp;$C$21&amp;","</f>
        <v>goals: ,</v>
      </c>
      <c r="N110" t="str">
        <f>"goals: "&amp;$C$11&amp;","</f>
        <v>goals: ,</v>
      </c>
      <c r="O110" t="str">
        <f>"goals: "&amp;$C$13&amp;","</f>
        <v>goals: ,</v>
      </c>
      <c r="P110" t="str">
        <f>"goals: "&amp;$C$5&amp;","</f>
        <v>goals: ,</v>
      </c>
      <c r="Q110" t="str">
        <f>"goals: "&amp;$C$10&amp;","</f>
        <v>goals: ,</v>
      </c>
      <c r="R110" t="str">
        <f>"goals: "&amp;$C$2&amp;","</f>
        <v>goals: ,</v>
      </c>
      <c r="S110" t="str">
        <f>"goals: "&amp;$C$19&amp;","</f>
        <v>goals: ,</v>
      </c>
      <c r="T110" t="str">
        <f>"goals: "&amp;$C$17&amp;","</f>
        <v>goals: ,</v>
      </c>
      <c r="U110" t="str">
        <f>"goals: "&amp;$C$18&amp;","</f>
        <v>goals: ,</v>
      </c>
      <c r="V110" t="str">
        <f>"goals: "&amp;$C$16&amp;","</f>
        <v>goals: ,</v>
      </c>
      <c r="W110" t="str">
        <f>"goals: "&amp;$C$6&amp;","</f>
        <v>goals: ,</v>
      </c>
    </row>
    <row r="111" spans="1:23" x14ac:dyDescent="0.3">
      <c r="A111" t="str">
        <f>"assists: "&amp;$D$4&amp;","</f>
        <v>assists: ,</v>
      </c>
      <c r="B111" t="str">
        <f>"assists: "&amp;$D$15&amp;","</f>
        <v>assists: ,</v>
      </c>
      <c r="C111" t="str">
        <f>"assists: "&amp;$D$9&amp;","</f>
        <v>assists: ,</v>
      </c>
      <c r="D111" t="str">
        <f>"assists: "&amp;$D$24&amp;","</f>
        <v>assists: ,</v>
      </c>
      <c r="E111" t="str">
        <f>"assists: "&amp;$D$12&amp;","</f>
        <v>assists: ,</v>
      </c>
      <c r="F111" t="str">
        <f>"assists: "&amp;$D$22&amp;","</f>
        <v>assists: ,</v>
      </c>
      <c r="G111" t="str">
        <f>"assists: "&amp;$D$3&amp;","</f>
        <v>assists: ,</v>
      </c>
      <c r="H111" t="str">
        <f>"assists: "&amp;$D$7&amp;","</f>
        <v>assists: ,</v>
      </c>
      <c r="I111" t="str">
        <f>"assists: "&amp;$D$8&amp;","</f>
        <v>assists: ,</v>
      </c>
      <c r="J111" t="str">
        <f>"assists: "&amp;$D$23&amp;","</f>
        <v>assists: ,</v>
      </c>
      <c r="K111" t="str">
        <f>"assists: "&amp;$D$20&amp;","</f>
        <v>assists: ,</v>
      </c>
      <c r="L111" t="str">
        <f>"assists: "&amp;$D$14&amp;","</f>
        <v>assists: ,</v>
      </c>
      <c r="M111" t="str">
        <f>"assists: "&amp;$D$21&amp;","</f>
        <v>assists: ,</v>
      </c>
      <c r="N111" t="str">
        <f>"assists: "&amp;$D$11&amp;","</f>
        <v>assists: ,</v>
      </c>
      <c r="O111" t="str">
        <f>"assists: "&amp;$D$13&amp;","</f>
        <v>assists: ,</v>
      </c>
      <c r="P111" t="str">
        <f>"assists: "&amp;$D$5&amp;","</f>
        <v>assists: ,</v>
      </c>
      <c r="Q111" t="str">
        <f>"assists: "&amp;$D$10&amp;","</f>
        <v>assists: ,</v>
      </c>
      <c r="R111" t="str">
        <f>"assists: "&amp;$D$2&amp;","</f>
        <v>assists: ,</v>
      </c>
      <c r="S111" t="str">
        <f>"assists: "&amp;$D$19&amp;","</f>
        <v>assists: ,</v>
      </c>
      <c r="T111" t="str">
        <f>"assists: "&amp;$D$17&amp;","</f>
        <v>assists: ,</v>
      </c>
      <c r="U111" t="str">
        <f>"assists: "&amp;$D$18&amp;","</f>
        <v>assists: ,</v>
      </c>
      <c r="V111" t="str">
        <f>"assists: "&amp;$D$16&amp;","</f>
        <v>assists: ,</v>
      </c>
      <c r="W111" t="str">
        <f>"assists: "&amp;$D$6&amp;","</f>
        <v>assists: ,</v>
      </c>
    </row>
    <row r="112" spans="1:23" x14ac:dyDescent="0.3">
      <c r="A112" t="str">
        <f>"keyPasses: "&amp;$E$4&amp;","</f>
        <v>keyPasses: ,</v>
      </c>
      <c r="B112" t="str">
        <f>"keyPasses: "&amp;$E$15&amp;","</f>
        <v>keyPasses: ,</v>
      </c>
      <c r="C112" t="str">
        <f>"keyPasses: "&amp;$E$9&amp;","</f>
        <v>keyPasses: ,</v>
      </c>
      <c r="D112" t="str">
        <f>"keyPasses: "&amp;$E$24&amp;","</f>
        <v>keyPasses: ,</v>
      </c>
      <c r="E112" t="str">
        <f>"keyPasses: "&amp;$E$12&amp;","</f>
        <v>keyPasses: ,</v>
      </c>
      <c r="F112" t="str">
        <f>"keyPasses: "&amp;$E$22&amp;","</f>
        <v>keyPasses: ,</v>
      </c>
      <c r="G112" t="str">
        <f>"keyPasses: "&amp;$E$3&amp;","</f>
        <v>keyPasses: ,</v>
      </c>
      <c r="H112" t="str">
        <f>"keyPasses: "&amp;$E$7&amp;","</f>
        <v>keyPasses: ,</v>
      </c>
      <c r="I112" t="str">
        <f>"keyPasses: "&amp;$E$8&amp;","</f>
        <v>keyPasses: ,</v>
      </c>
      <c r="J112" t="str">
        <f>"keyPasses: "&amp;$E$23&amp;","</f>
        <v>keyPasses: ,</v>
      </c>
      <c r="K112" t="str">
        <f>"keyPasses: "&amp;$E$20&amp;","</f>
        <v>keyPasses: ,</v>
      </c>
      <c r="L112" t="str">
        <f>"keyPasses: "&amp;$E$14&amp;","</f>
        <v>keyPasses: ,</v>
      </c>
      <c r="M112" t="str">
        <f>"keyPasses: "&amp;$E$21&amp;","</f>
        <v>keyPasses: ,</v>
      </c>
      <c r="N112" t="str">
        <f>"keyPasses: "&amp;$E$11&amp;","</f>
        <v>keyPasses: ,</v>
      </c>
      <c r="O112" t="str">
        <f>"keyPasses: "&amp;$E$13&amp;","</f>
        <v>keyPasses: ,</v>
      </c>
      <c r="P112" t="str">
        <f>"keyPasses: "&amp;$E$5&amp;","</f>
        <v>keyPasses: ,</v>
      </c>
      <c r="Q112" t="str">
        <f>"keyPasses: "&amp;$E$10&amp;","</f>
        <v>keyPasses: ,</v>
      </c>
      <c r="R112" t="str">
        <f>"keyPasses: "&amp;$E$2&amp;","</f>
        <v>keyPasses: ,</v>
      </c>
      <c r="S112" t="str">
        <f>"keyPasses: "&amp;$E$19&amp;","</f>
        <v>keyPasses: ,</v>
      </c>
      <c r="T112" t="str">
        <f>"keyPasses: "&amp;$E$17&amp;","</f>
        <v>keyPasses: ,</v>
      </c>
      <c r="U112" t="str">
        <f>"keyPasses: "&amp;$E$18&amp;","</f>
        <v>keyPasses: ,</v>
      </c>
      <c r="V112" t="str">
        <f>"keyPasses: "&amp;$E$16&amp;","</f>
        <v>keyPasses: ,</v>
      </c>
      <c r="W112" t="str">
        <f>"keyPasses: "&amp;$E$6&amp;","</f>
        <v>keyPasses: ,</v>
      </c>
    </row>
    <row r="113" spans="1:23" x14ac:dyDescent="0.3">
      <c r="A113" t="str">
        <f>"startCA: "&amp;$F$4&amp;","</f>
        <v>startCA: ,</v>
      </c>
      <c r="B113" t="str">
        <f>"startCA: "&amp;$F$15&amp;","</f>
        <v>startCA: ,</v>
      </c>
      <c r="C113" t="str">
        <f>"startCA: "&amp;$F$9&amp;","</f>
        <v>startCA: ,</v>
      </c>
      <c r="D113" t="str">
        <f>"startCA: "&amp;$F$24&amp;","</f>
        <v>startCA: ,</v>
      </c>
      <c r="E113" t="str">
        <f>"startCA: "&amp;$F$12&amp;","</f>
        <v>startCA: ,</v>
      </c>
      <c r="F113" t="str">
        <f>"startCA: "&amp;$F$22&amp;","</f>
        <v>startCA: ,</v>
      </c>
      <c r="G113" t="str">
        <f>"startCA: "&amp;$F$3&amp;","</f>
        <v>startCA: ,</v>
      </c>
      <c r="H113" t="str">
        <f>"startCA: "&amp;$F$7&amp;","</f>
        <v>startCA: ,</v>
      </c>
      <c r="I113" t="str">
        <f>"startCA: "&amp;$F$8&amp;","</f>
        <v>startCA: ,</v>
      </c>
      <c r="J113" t="str">
        <f>"startCA: "&amp;$F$23&amp;","</f>
        <v>startCA: ,</v>
      </c>
      <c r="K113" t="str">
        <f>"startCA: "&amp;$F$20&amp;","</f>
        <v>startCA: ,</v>
      </c>
      <c r="L113" t="str">
        <f>"startCA: "&amp;$F$14&amp;","</f>
        <v>startCA: ,</v>
      </c>
      <c r="M113" t="str">
        <f>"startCA: "&amp;$F$21&amp;","</f>
        <v>startCA: ,</v>
      </c>
      <c r="N113" t="str">
        <f>"startCA: "&amp;$F$11&amp;","</f>
        <v>startCA: ,</v>
      </c>
      <c r="O113" t="str">
        <f>"startCA: "&amp;$F$13&amp;","</f>
        <v>startCA: ,</v>
      </c>
      <c r="P113" t="str">
        <f>"startCA: "&amp;$F$5&amp;","</f>
        <v>startCA: ,</v>
      </c>
      <c r="Q113" t="str">
        <f>"startCA: "&amp;$F$10&amp;","</f>
        <v>startCA: ,</v>
      </c>
      <c r="R113" t="str">
        <f>"startCA: "&amp;$F$2&amp;","</f>
        <v>startCA: ,</v>
      </c>
      <c r="S113" t="str">
        <f>"startCA: "&amp;$F$19&amp;","</f>
        <v>startCA: ,</v>
      </c>
      <c r="T113" t="str">
        <f>"startCA: "&amp;$F$17&amp;","</f>
        <v>startCA: ,</v>
      </c>
      <c r="U113" t="str">
        <f>"startCA: "&amp;$F$18&amp;","</f>
        <v>startCA: ,</v>
      </c>
      <c r="V113" t="str">
        <f>"startCA: "&amp;$F$16&amp;","</f>
        <v>startCA: ,</v>
      </c>
      <c r="W113" t="str">
        <f>"startCA: "&amp;$F$6&amp;","</f>
        <v>startCA: ,</v>
      </c>
    </row>
    <row r="114" spans="1:23" x14ac:dyDescent="0.3">
      <c r="A114" t="str">
        <f>"outplayFWD: "&amp;$G$4&amp;","</f>
        <v>outplayFWD: ,</v>
      </c>
      <c r="B114" t="str">
        <f>"outplayFWD: "&amp;$G$15&amp;","</f>
        <v>outplayFWD: ,</v>
      </c>
      <c r="C114" t="str">
        <f>"outplayFWD: "&amp;$G$9&amp;","</f>
        <v>outplayFWD: ,</v>
      </c>
      <c r="D114" t="str">
        <f>"outplayFWD: "&amp;$G$24&amp;","</f>
        <v>outplayFWD: ,</v>
      </c>
      <c r="E114" t="str">
        <f>"outplayFWD: "&amp;$G$12&amp;","</f>
        <v>outplayFWD: ,</v>
      </c>
      <c r="F114" t="str">
        <f>"outplayFWD: "&amp;$G$22&amp;","</f>
        <v>outplayFWD: ,</v>
      </c>
      <c r="G114" t="str">
        <f>"outplayFWD: "&amp;$G$3&amp;","</f>
        <v>outplayFWD: ,</v>
      </c>
      <c r="H114" t="str">
        <f>"outplayFWD: "&amp;$G$7&amp;","</f>
        <v>outplayFWD: ,</v>
      </c>
      <c r="I114" t="str">
        <f>"outplayFWD: "&amp;$G$8&amp;","</f>
        <v>outplayFWD: ,</v>
      </c>
      <c r="J114" t="str">
        <f>"outplayFWD: "&amp;$G$23&amp;","</f>
        <v>outplayFWD: ,</v>
      </c>
      <c r="K114" t="str">
        <f>"outplayFWD: "&amp;$G$20&amp;","</f>
        <v>outplayFWD: ,</v>
      </c>
      <c r="L114" t="str">
        <f>"outplayFWD: "&amp;$G$14&amp;","</f>
        <v>outplayFWD: ,</v>
      </c>
      <c r="M114" t="str">
        <f>"outplayFWD: "&amp;$G$21&amp;","</f>
        <v>outplayFWD: ,</v>
      </c>
      <c r="N114" t="str">
        <f>"outplayFWD: "&amp;$G$11&amp;","</f>
        <v>outplayFWD: ,</v>
      </c>
      <c r="O114" t="str">
        <f>"outplayFWD: "&amp;$G$13&amp;","</f>
        <v>outplayFWD: ,</v>
      </c>
      <c r="P114" t="str">
        <f>"outplayFWD: "&amp;$G$5&amp;","</f>
        <v>outplayFWD: ,</v>
      </c>
      <c r="Q114" t="str">
        <f>"outplayFWD: "&amp;$G$10&amp;","</f>
        <v>outplayFWD: ,</v>
      </c>
      <c r="R114" t="str">
        <f>"outplayFWD: "&amp;$G$2&amp;","</f>
        <v>outplayFWD: ,</v>
      </c>
      <c r="S114" t="str">
        <f>"outplayFWD: "&amp;$G$19&amp;","</f>
        <v>outplayFWD: ,</v>
      </c>
      <c r="T114" t="str">
        <f>"outplayFWD: "&amp;$G$17&amp;","</f>
        <v>outplayFWD: ,</v>
      </c>
      <c r="U114" t="str">
        <f>"outplayFWD: "&amp;$G$18&amp;","</f>
        <v>outplayFWD: ,</v>
      </c>
      <c r="V114" t="str">
        <f>"outplayFWD: "&amp;$G$16&amp;","</f>
        <v>outplayFWD: ,</v>
      </c>
      <c r="W114" t="str">
        <f>"outplayFWD: "&amp;$G$6&amp;","</f>
        <v>outplayFWD: ,</v>
      </c>
    </row>
    <row r="115" spans="1:23" x14ac:dyDescent="0.3">
      <c r="A115" t="str">
        <f>"effCrosses: "&amp;$H$4&amp;","</f>
        <v>effCrosses: ,</v>
      </c>
      <c r="B115" t="str">
        <f>"effCrosses: "&amp;$H$15&amp;","</f>
        <v>effCrosses: ,</v>
      </c>
      <c r="C115" t="str">
        <f>"effCrosses: "&amp;$H$9&amp;","</f>
        <v>effCrosses: ,</v>
      </c>
      <c r="D115" t="str">
        <f>"effCrosses: "&amp;$H$24&amp;","</f>
        <v>effCrosses: ,</v>
      </c>
      <c r="E115" t="str">
        <f>"effCrosses: "&amp;$H$12&amp;","</f>
        <v>effCrosses: ,</v>
      </c>
      <c r="F115" t="str">
        <f>"effCrosses: "&amp;$H$22&amp;","</f>
        <v>effCrosses: ,</v>
      </c>
      <c r="G115" t="str">
        <f>"effCrosses: "&amp;$H$3&amp;","</f>
        <v>effCrosses: ,</v>
      </c>
      <c r="H115" t="str">
        <f>"effCrosses: "&amp;$H$7&amp;","</f>
        <v>effCrosses: ,</v>
      </c>
      <c r="I115" t="str">
        <f>"effCrosses: "&amp;$H$8&amp;","</f>
        <v>effCrosses: ,</v>
      </c>
      <c r="J115" t="str">
        <f>"effCrosses: "&amp;$H$23&amp;","</f>
        <v>effCrosses: ,</v>
      </c>
      <c r="K115" t="str">
        <f>"effCrosses: "&amp;$H$20&amp;","</f>
        <v>effCrosses: ,</v>
      </c>
      <c r="L115" t="str">
        <f>"effCrosses: "&amp;$H$14&amp;","</f>
        <v>effCrosses: ,</v>
      </c>
      <c r="M115" t="str">
        <f>"effCrosses: "&amp;$H$21&amp;","</f>
        <v>effCrosses: ,</v>
      </c>
      <c r="N115" t="str">
        <f>"effCrosses: "&amp;$H$11&amp;","</f>
        <v>effCrosses: ,</v>
      </c>
      <c r="O115" t="str">
        <f>"effCrosses: "&amp;$H$13&amp;","</f>
        <v>effCrosses: ,</v>
      </c>
      <c r="P115" t="str">
        <f>"effCrosses: "&amp;$H$5&amp;","</f>
        <v>effCrosses: ,</v>
      </c>
      <c r="Q115" t="str">
        <f>"effCrosses: "&amp;$H$10&amp;","</f>
        <v>effCrosses: ,</v>
      </c>
      <c r="R115" t="str">
        <f>"effCrosses: "&amp;$H$2&amp;","</f>
        <v>effCrosses: ,</v>
      </c>
      <c r="S115" t="str">
        <f>"effCrosses: "&amp;$H$19&amp;","</f>
        <v>effCrosses: ,</v>
      </c>
      <c r="T115" t="str">
        <f>"effCrosses: "&amp;$H$17&amp;","</f>
        <v>effCrosses: ,</v>
      </c>
      <c r="U115" t="str">
        <f>"effCrosses: "&amp;$H$18&amp;","</f>
        <v>effCrosses: ,</v>
      </c>
      <c r="V115" t="str">
        <f>"effCrosses: "&amp;$H$16&amp;","</f>
        <v>effCrosses: ,</v>
      </c>
      <c r="W115" t="str">
        <f>"effCrosses: "&amp;$H$6&amp;","</f>
        <v>effCrosses: ,</v>
      </c>
    </row>
    <row r="116" spans="1:23" x14ac:dyDescent="0.3">
      <c r="A116" t="str">
        <f>"oneVones: "&amp;$I$4&amp;","</f>
        <v>oneVones: ,</v>
      </c>
      <c r="B116" t="str">
        <f>"oneVones: "&amp;$I$15&amp;","</f>
        <v>oneVones: ,</v>
      </c>
      <c r="C116" t="str">
        <f>"oneVones: "&amp;$I$9&amp;","</f>
        <v>oneVones: ,</v>
      </c>
      <c r="D116" t="str">
        <f>"oneVones: "&amp;$I$24&amp;","</f>
        <v>oneVones: ,</v>
      </c>
      <c r="E116" t="str">
        <f>"oneVones: "&amp;$I$12&amp;","</f>
        <v>oneVones: ,</v>
      </c>
      <c r="F116" t="str">
        <f>"oneVones: "&amp;$I$22&amp;","</f>
        <v>oneVones: ,</v>
      </c>
      <c r="G116" t="str">
        <f>"oneVones: "&amp;$I$3&amp;","</f>
        <v>oneVones: ,</v>
      </c>
      <c r="H116" t="str">
        <f>"oneVones: "&amp;$I$7&amp;","</f>
        <v>oneVones: ,</v>
      </c>
      <c r="I116" t="str">
        <f>"oneVones: "&amp;$I$8&amp;","</f>
        <v>oneVones: ,</v>
      </c>
      <c r="J116" t="str">
        <f>"oneVones: "&amp;$I$23&amp;","</f>
        <v>oneVones: ,</v>
      </c>
      <c r="K116" t="str">
        <f>"oneVones: "&amp;$I$20&amp;","</f>
        <v>oneVones: ,</v>
      </c>
      <c r="L116" t="str">
        <f>"oneVones: "&amp;$I$14&amp;","</f>
        <v>oneVones: ,</v>
      </c>
      <c r="M116" t="str">
        <f>"oneVones: "&amp;$I$21&amp;","</f>
        <v>oneVones: ,</v>
      </c>
      <c r="N116" t="str">
        <f>"oneVones: "&amp;$I$11&amp;","</f>
        <v>oneVones: ,</v>
      </c>
      <c r="O116" t="str">
        <f>"oneVones: "&amp;$I$13&amp;","</f>
        <v>oneVones: ,</v>
      </c>
      <c r="P116" t="str">
        <f>"oneVones: "&amp;$I$5&amp;","</f>
        <v>oneVones: ,</v>
      </c>
      <c r="Q116" t="str">
        <f>"oneVones: "&amp;$I$10&amp;","</f>
        <v>oneVones: ,</v>
      </c>
      <c r="R116" t="str">
        <f>"oneVones: "&amp;$I$2&amp;","</f>
        <v>oneVones: ,</v>
      </c>
      <c r="S116" t="str">
        <f>"oneVones: "&amp;$I$19&amp;","</f>
        <v>oneVones: ,</v>
      </c>
      <c r="T116" t="str">
        <f>"oneVones: "&amp;$I$17&amp;","</f>
        <v>oneVones: ,</v>
      </c>
      <c r="U116" t="str">
        <f>"oneVones: "&amp;$I$18&amp;","</f>
        <v>oneVones: ,</v>
      </c>
      <c r="V116" t="str">
        <f>"oneVones: "&amp;$I$16&amp;","</f>
        <v>oneVones: ,</v>
      </c>
      <c r="W116" t="str">
        <f>"oneVones: "&amp;$I$6&amp;","</f>
        <v>oneVones: ,</v>
      </c>
    </row>
    <row r="117" spans="1:23" x14ac:dyDescent="0.3">
      <c r="A117" t="str">
        <f>"attHeaders: "&amp;$J$4&amp;","</f>
        <v>attHeaders: ,</v>
      </c>
      <c r="B117" t="str">
        <f>"attHeaders: "&amp;$J$15&amp;","</f>
        <v>attHeaders: ,</v>
      </c>
      <c r="C117" t="str">
        <f>"attHeaders: "&amp;$J$9&amp;","</f>
        <v>attHeaders: ,</v>
      </c>
      <c r="D117" t="str">
        <f>"attHeaders: "&amp;$J$24&amp;","</f>
        <v>attHeaders: ,</v>
      </c>
      <c r="E117" t="str">
        <f>"attHeaders: "&amp;$J$12&amp;","</f>
        <v>attHeaders: ,</v>
      </c>
      <c r="F117" t="str">
        <f>"attHeaders: "&amp;$J$22&amp;","</f>
        <v>attHeaders: ,</v>
      </c>
      <c r="G117" t="str">
        <f>"attHeaders: "&amp;$J$3&amp;","</f>
        <v>attHeaders: ,</v>
      </c>
      <c r="H117" t="str">
        <f>"attHeaders: "&amp;$J$7&amp;","</f>
        <v>attHeaders: ,</v>
      </c>
      <c r="I117" t="str">
        <f>"attHeaders: "&amp;$J$8&amp;","</f>
        <v>attHeaders: ,</v>
      </c>
      <c r="J117" t="str">
        <f>"attHeaders: "&amp;$J$23&amp;","</f>
        <v>attHeaders: ,</v>
      </c>
      <c r="K117" t="str">
        <f>"attHeaders: "&amp;$J$20&amp;","</f>
        <v>attHeaders: ,</v>
      </c>
      <c r="L117" t="str">
        <f>"attHeaders: "&amp;$J$14&amp;","</f>
        <v>attHeaders: ,</v>
      </c>
      <c r="M117" t="str">
        <f>"attHeaders: "&amp;$J$21&amp;","</f>
        <v>attHeaders: ,</v>
      </c>
      <c r="N117" t="str">
        <f>"attHeaders: "&amp;$J$11&amp;","</f>
        <v>attHeaders: ,</v>
      </c>
      <c r="O117" t="str">
        <f>"attHeaders: "&amp;$J$13&amp;","</f>
        <v>attHeaders: ,</v>
      </c>
      <c r="P117" t="str">
        <f>"attHeaders: "&amp;$J$5&amp;","</f>
        <v>attHeaders: ,</v>
      </c>
      <c r="Q117" t="str">
        <f>"attHeaders: "&amp;$J$10&amp;","</f>
        <v>attHeaders: ,</v>
      </c>
      <c r="R117" t="str">
        <f>"attHeaders: "&amp;$J$2&amp;","</f>
        <v>attHeaders: ,</v>
      </c>
      <c r="S117" t="str">
        <f>"attHeaders: "&amp;$J$19&amp;","</f>
        <v>attHeaders: ,</v>
      </c>
      <c r="T117" t="str">
        <f>"attHeaders: "&amp;$J$17&amp;","</f>
        <v>attHeaders: ,</v>
      </c>
      <c r="U117" t="str">
        <f>"attHeaders: "&amp;$J$18&amp;","</f>
        <v>attHeaders: ,</v>
      </c>
      <c r="V117" t="str">
        <f>"attHeaders: "&amp;$J$16&amp;","</f>
        <v>attHeaders: ,</v>
      </c>
      <c r="W117" t="str">
        <f>"attHeaders: "&amp;$J$6&amp;","</f>
        <v>attHeaders: ,</v>
      </c>
    </row>
    <row r="118" spans="1:23" x14ac:dyDescent="0.3">
      <c r="A118" t="str">
        <f>"spEarned: "&amp;$K$4&amp;","</f>
        <v>spEarned: ,</v>
      </c>
      <c r="B118" t="str">
        <f>"spEarned: "&amp;$K$15&amp;","</f>
        <v>spEarned: ,</v>
      </c>
      <c r="C118" t="str">
        <f>"spEarned: "&amp;$K$9&amp;","</f>
        <v>spEarned: ,</v>
      </c>
      <c r="D118" t="str">
        <f>"spEarned: "&amp;$K$24&amp;","</f>
        <v>spEarned: ,</v>
      </c>
      <c r="E118" t="str">
        <f>"spEarned: "&amp;$K$12&amp;","</f>
        <v>spEarned: ,</v>
      </c>
      <c r="F118" t="str">
        <f>"spEarned: "&amp;$K$22&amp;","</f>
        <v>spEarned: ,</v>
      </c>
      <c r="G118" t="str">
        <f>"spEarned: "&amp;$K$3&amp;","</f>
        <v>spEarned: ,</v>
      </c>
      <c r="H118" t="str">
        <f>"spEarned: "&amp;$K$7&amp;","</f>
        <v>spEarned: ,</v>
      </c>
      <c r="I118" t="str">
        <f>"spEarned: "&amp;$K$8&amp;","</f>
        <v>spEarned: ,</v>
      </c>
      <c r="J118" t="str">
        <f>"spEarned: "&amp;$K$23&amp;","</f>
        <v>spEarned: ,</v>
      </c>
      <c r="K118" t="str">
        <f>"spEarned: "&amp;$K$20&amp;","</f>
        <v>spEarned: ,</v>
      </c>
      <c r="L118" t="str">
        <f>"spEarned: "&amp;$K$14&amp;","</f>
        <v>spEarned: ,</v>
      </c>
      <c r="M118" t="str">
        <f>"spEarned: "&amp;$K$21&amp;","</f>
        <v>spEarned: ,</v>
      </c>
      <c r="N118" t="str">
        <f>"spEarned: "&amp;$K$11&amp;","</f>
        <v>spEarned: ,</v>
      </c>
      <c r="O118" t="str">
        <f>"spEarned: "&amp;$K$13&amp;","</f>
        <v>spEarned: ,</v>
      </c>
      <c r="P118" t="str">
        <f>"spEarned: "&amp;$K$5&amp;","</f>
        <v>spEarned: ,</v>
      </c>
      <c r="Q118" t="str">
        <f>"spEarned: "&amp;$K$10&amp;","</f>
        <v>spEarned: ,</v>
      </c>
      <c r="R118" t="str">
        <f>"spEarned: "&amp;$K$2&amp;","</f>
        <v>spEarned: ,</v>
      </c>
      <c r="S118" t="str">
        <f>"spEarned: "&amp;$K$19&amp;","</f>
        <v>spEarned: ,</v>
      </c>
      <c r="T118" t="str">
        <f>"spEarned: "&amp;$K$17&amp;","</f>
        <v>spEarned: ,</v>
      </c>
      <c r="U118" t="str">
        <f>"spEarned: "&amp;$K$18&amp;","</f>
        <v>spEarned: ,</v>
      </c>
      <c r="V118" t="str">
        <f>"spEarned: "&amp;$K$16&amp;","</f>
        <v>spEarned: ,</v>
      </c>
      <c r="W118" t="str">
        <f>"spEarned: "&amp;$K$6&amp;","</f>
        <v>spEarned: ,</v>
      </c>
    </row>
    <row r="119" spans="1:23" x14ac:dyDescent="0.3">
      <c r="A119" t="str">
        <f>"offTargetShots: "&amp;$L$4&amp;","</f>
        <v>offTargetShots: ,</v>
      </c>
      <c r="B119" t="str">
        <f>"offTargetShots: "&amp;$L$15&amp;","</f>
        <v>offTargetShots: ,</v>
      </c>
      <c r="C119" t="str">
        <f>"offTargetShots: "&amp;$L$9&amp;","</f>
        <v>offTargetShots: ,</v>
      </c>
      <c r="D119" t="str">
        <f>"offTargetShots: "&amp;$L$24&amp;","</f>
        <v>offTargetShots: ,</v>
      </c>
      <c r="E119" t="str">
        <f>"offTargetShots: "&amp;$L$12&amp;","</f>
        <v>offTargetShots: ,</v>
      </c>
      <c r="F119" t="str">
        <f>"offTargetShots: "&amp;$L$22&amp;","</f>
        <v>offTargetShots: ,</v>
      </c>
      <c r="G119" t="str">
        <f>"offTargetShots: "&amp;$L$3&amp;","</f>
        <v>offTargetShots: ,</v>
      </c>
      <c r="H119" t="str">
        <f>"offTargetShots: "&amp;$L$7&amp;","</f>
        <v>offTargetShots: ,</v>
      </c>
      <c r="I119" t="str">
        <f>"offTargetShots: "&amp;$L$8&amp;","</f>
        <v>offTargetShots: ,</v>
      </c>
      <c r="J119" t="str">
        <f>"offTargetShots: "&amp;$L$23&amp;","</f>
        <v>offTargetShots: ,</v>
      </c>
      <c r="K119" t="str">
        <f>"offTargetShots: "&amp;$L$20&amp;","</f>
        <v>offTargetShots: ,</v>
      </c>
      <c r="L119" t="str">
        <f>"offTargetShots: "&amp;$L$14&amp;","</f>
        <v>offTargetShots: ,</v>
      </c>
      <c r="M119" t="str">
        <f>"offTargetShots: "&amp;$L$21&amp;","</f>
        <v>offTargetShots: ,</v>
      </c>
      <c r="N119" t="str">
        <f>"offTargetShots: "&amp;$L$11&amp;","</f>
        <v>offTargetShots: ,</v>
      </c>
      <c r="O119" t="str">
        <f>"offTargetShots: "&amp;$L$13&amp;","</f>
        <v>offTargetShots: ,</v>
      </c>
      <c r="P119" t="str">
        <f>"offTargetShots: "&amp;$L$5&amp;","</f>
        <v>offTargetShots: ,</v>
      </c>
      <c r="Q119" t="str">
        <f>"offTargetShots: "&amp;$L$10&amp;","</f>
        <v>offTargetShots: ,</v>
      </c>
      <c r="R119" t="str">
        <f>"offTargetShots: "&amp;$L$2&amp;","</f>
        <v>offTargetShots: ,</v>
      </c>
      <c r="S119" t="str">
        <f>"offTargetShots: "&amp;$L$19&amp;","</f>
        <v>offTargetShots: ,</v>
      </c>
      <c r="T119" t="str">
        <f>"offTargetShots: "&amp;$L$17&amp;","</f>
        <v>offTargetShots: ,</v>
      </c>
      <c r="U119" t="str">
        <f>"offTargetShots: "&amp;$L$18&amp;","</f>
        <v>offTargetShots: ,</v>
      </c>
      <c r="V119" t="str">
        <f>"offTargetShots: "&amp;$L$16&amp;","</f>
        <v>offTargetShots: ,</v>
      </c>
      <c r="W119" t="str">
        <f>"offTargetShots: "&amp;$L$6&amp;","</f>
        <v>offTargetShots: ,</v>
      </c>
    </row>
    <row r="120" spans="1:23" x14ac:dyDescent="0.3">
      <c r="A120" t="str">
        <f>"onTargetShots: "&amp;$M$4&amp;","</f>
        <v>onTargetShots: ,</v>
      </c>
      <c r="B120" t="str">
        <f>"onTargetShots: "&amp;$M$15&amp;","</f>
        <v>onTargetShots: ,</v>
      </c>
      <c r="C120" t="str">
        <f>"onTargetShots: "&amp;$M$9&amp;","</f>
        <v>onTargetShots: ,</v>
      </c>
      <c r="D120" t="str">
        <f>"onTargetShots: "&amp;$M$24&amp;","</f>
        <v>onTargetShots: ,</v>
      </c>
      <c r="E120" t="str">
        <f>"onTargetShots: "&amp;$M$12&amp;","</f>
        <v>onTargetShots: ,</v>
      </c>
      <c r="F120" t="str">
        <f>"onTargetShots: "&amp;$M$22&amp;","</f>
        <v>onTargetShots: ,</v>
      </c>
      <c r="G120" t="str">
        <f>"onTargetShots: "&amp;$M$3&amp;","</f>
        <v>onTargetShots: ,</v>
      </c>
      <c r="H120" t="str">
        <f>"onTargetShots: "&amp;$M$7&amp;","</f>
        <v>onTargetShots: ,</v>
      </c>
      <c r="I120" t="str">
        <f>"onTargetShots: "&amp;$M$8&amp;","</f>
        <v>onTargetShots: ,</v>
      </c>
      <c r="J120" t="str">
        <f>"onTargetShots: "&amp;$M$23&amp;","</f>
        <v>onTargetShots: ,</v>
      </c>
      <c r="K120" t="str">
        <f>"onTargetShots: "&amp;$M$20&amp;","</f>
        <v>onTargetShots: ,</v>
      </c>
      <c r="L120" t="str">
        <f>"onTargetShots: "&amp;$M$14&amp;","</f>
        <v>onTargetShots: ,</v>
      </c>
      <c r="M120" t="str">
        <f>"onTargetShots: "&amp;$M$21&amp;","</f>
        <v>onTargetShots: ,</v>
      </c>
      <c r="N120" t="str">
        <f>"onTargetShots: "&amp;$M$11&amp;","</f>
        <v>onTargetShots: ,</v>
      </c>
      <c r="O120" t="str">
        <f>"onTargetShots: "&amp;$M$13&amp;","</f>
        <v>onTargetShots: ,</v>
      </c>
      <c r="P120" t="str">
        <f>"onTargetShots: "&amp;$M$5&amp;","</f>
        <v>onTargetShots: ,</v>
      </c>
      <c r="Q120" t="str">
        <f>"onTargetShots: "&amp;$M$10&amp;","</f>
        <v>onTargetShots: ,</v>
      </c>
      <c r="R120" t="str">
        <f>"onTargetShots: "&amp;$M$2&amp;","</f>
        <v>onTargetShots: ,</v>
      </c>
      <c r="S120" t="str">
        <f>"onTargetShots: "&amp;$M$19&amp;","</f>
        <v>onTargetShots: ,</v>
      </c>
      <c r="T120" t="str">
        <f>"onTargetShots: "&amp;$M$17&amp;","</f>
        <v>onTargetShots: ,</v>
      </c>
      <c r="U120" t="str">
        <f>"onTargetShots: "&amp;$M$18&amp;","</f>
        <v>onTargetShots: ,</v>
      </c>
      <c r="V120" t="str">
        <f>"onTargetShots: "&amp;$M$16&amp;","</f>
        <v>onTargetShots: ,</v>
      </c>
      <c r="W120" t="str">
        <f>"onTargetShots: "&amp;$M$6&amp;","</f>
        <v>onTargetShots: ,</v>
      </c>
    </row>
    <row r="121" spans="1:23" x14ac:dyDescent="0.3">
      <c r="A121" t="str">
        <f>"totalOffActMin: "&amp;TEXT($O$4,"0.00")&amp;","</f>
        <v>totalOffActMin: 0.00,</v>
      </c>
      <c r="B121" t="str">
        <f>"totalOffActMin: "&amp;TEXT($O$15,"0.00")&amp;","</f>
        <v>totalOffActMin: 0.00,</v>
      </c>
      <c r="C121" t="str">
        <f>"totalOffActMin: "&amp;TEXT($O$9,"0.00")&amp;","</f>
        <v>totalOffActMin: 0.00,</v>
      </c>
      <c r="D121" t="str">
        <f>"totalOffActMin: "&amp;TEXT($O$24,"0.00")&amp;","</f>
        <v>totalOffActMin: 0.00,</v>
      </c>
      <c r="E121" t="str">
        <f>"totalOffActMin: "&amp;TEXT($O$12,"0.00")&amp;","</f>
        <v>totalOffActMin: 0.00,</v>
      </c>
      <c r="F121" t="str">
        <f>"totalOffActMin: "&amp;TEXT($O$22,"0.00")&amp;","</f>
        <v>totalOffActMin: 0.00,</v>
      </c>
      <c r="G121" t="str">
        <f>"totalOffActMin: "&amp;TEXT($O$3,"0.00")&amp;","</f>
        <v>totalOffActMin: 0.00,</v>
      </c>
      <c r="H121" t="str">
        <f>"totalOffActMin: "&amp;TEXT($O$7,"0.00")&amp;","</f>
        <v>totalOffActMin: 0.00,</v>
      </c>
      <c r="I121" t="str">
        <f>"totalOffActMin: "&amp;TEXT($O$8,"0.00")&amp;","</f>
        <v>totalOffActMin: 0.00,</v>
      </c>
      <c r="J121" t="str">
        <f>"totalOffActMin: "&amp;TEXT($O$23,"0.00")&amp;","</f>
        <v>totalOffActMin: 0.00,</v>
      </c>
      <c r="K121" t="str">
        <f>"totalOffActMin: "&amp;TEXT($O$20,"0.00")&amp;","</f>
        <v>totalOffActMin: 0.00,</v>
      </c>
      <c r="L121" t="str">
        <f>"totalOffActMin: "&amp;TEXT($O$14,"0.00")&amp;","</f>
        <v>totalOffActMin: 0.00,</v>
      </c>
      <c r="M121" t="str">
        <f>"totalOffActMin: "&amp;TEXT($O$21,"0.00")&amp;","</f>
        <v>totalOffActMin: 0.00,</v>
      </c>
      <c r="N121" t="str">
        <f>"totalOffActMin: "&amp;TEXT($O$11,"0.00")&amp;","</f>
        <v>totalOffActMin: 0.00,</v>
      </c>
      <c r="O121" t="str">
        <f>"totalOffActMin: "&amp;TEXT($O$13,"0.00")&amp;","</f>
        <v>totalOffActMin: 0.00,</v>
      </c>
      <c r="P121" t="str">
        <f>"totalOffActMin: "&amp;TEXT($O$5,"0.00")&amp;","</f>
        <v>totalOffActMin: 0.00,</v>
      </c>
      <c r="Q121" t="str">
        <f>"totalOffActMin: "&amp;TEXT($O$10,"0.00")&amp;","</f>
        <v>totalOffActMin: 0.00,</v>
      </c>
      <c r="R121" t="str">
        <f>"totalOffActMin: "&amp;TEXT($O$2,"0.00")&amp;","</f>
        <v>totalOffActMin: 0.00,</v>
      </c>
      <c r="S121" t="str">
        <f>"totalOffActMin: "&amp;TEXT($O$19,"0.00")&amp;","</f>
        <v>totalOffActMin: 0.00,</v>
      </c>
      <c r="T121" t="str">
        <f>"totalOffActMin: "&amp;TEXT($O$17,"0.00")&amp;","</f>
        <v>totalOffActMin: 0.00,</v>
      </c>
      <c r="U121" t="str">
        <f>"totalOffActMin: "&amp;TEXT($O$18,"0.00")&amp;","</f>
        <v>totalOffActMin: 0.00,</v>
      </c>
      <c r="V121" t="str">
        <f>"totalOffActMin: "&amp;TEXT($O$16,"0.00")&amp;","</f>
        <v>totalOffActMin: 0.00,</v>
      </c>
      <c r="W121" t="str">
        <f>"totalOffActMin: "&amp;TEXT($O$6,"0.00")&amp;","</f>
        <v>totalOffActMin: 0.00,</v>
      </c>
    </row>
    <row r="122" spans="1:23" x14ac:dyDescent="0.3">
      <c r="A122" t="str">
        <f>"tackles: "&amp;$P$4&amp;","</f>
        <v>tackles: ,</v>
      </c>
      <c r="B122" t="str">
        <f>"tackles: "&amp;$P$15&amp;","</f>
        <v>tackles: ,</v>
      </c>
      <c r="C122" t="str">
        <f>"tackles: "&amp;$P$9&amp;","</f>
        <v>tackles: ,</v>
      </c>
      <c r="D122" t="str">
        <f>"tackles: "&amp;$P$24&amp;","</f>
        <v>tackles: ,</v>
      </c>
      <c r="E122" t="str">
        <f>"tackles: "&amp;$P$12&amp;","</f>
        <v>tackles: ,</v>
      </c>
      <c r="F122" t="str">
        <f>"tackles: "&amp;$P$22&amp;","</f>
        <v>tackles: ,</v>
      </c>
      <c r="G122" t="str">
        <f>"tackles: "&amp;$P$3&amp;","</f>
        <v>tackles: ,</v>
      </c>
      <c r="H122" t="str">
        <f>"tackles: "&amp;$P$7&amp;","</f>
        <v>tackles: ,</v>
      </c>
      <c r="I122" t="str">
        <f>"tackles: "&amp;$P$8&amp;","</f>
        <v>tackles: ,</v>
      </c>
      <c r="J122" t="str">
        <f>"tackles: "&amp;$P$23&amp;","</f>
        <v>tackles: ,</v>
      </c>
      <c r="K122" t="str">
        <f>"tackles: "&amp;$P$20&amp;","</f>
        <v>tackles: ,</v>
      </c>
      <c r="L122" t="str">
        <f>"tackles: "&amp;$P$14&amp;","</f>
        <v>tackles: ,</v>
      </c>
      <c r="M122" t="str">
        <f>"tackles: "&amp;$P$21&amp;","</f>
        <v>tackles: ,</v>
      </c>
      <c r="N122" t="str">
        <f>"tackles: "&amp;$P$11&amp;","</f>
        <v>tackles: ,</v>
      </c>
      <c r="O122" t="str">
        <f>"tackles: "&amp;$P$13&amp;","</f>
        <v>tackles: ,</v>
      </c>
      <c r="P122" t="str">
        <f>"tackles: "&amp;$P$5&amp;","</f>
        <v>tackles: ,</v>
      </c>
      <c r="Q122" t="str">
        <f>"tackles: "&amp;$P$10&amp;","</f>
        <v>tackles: ,</v>
      </c>
      <c r="R122" t="str">
        <f>"tackles: "&amp;$P$2&amp;","</f>
        <v>tackles: ,</v>
      </c>
      <c r="S122" t="str">
        <f>"tackles: "&amp;$P$19&amp;","</f>
        <v>tackles: ,</v>
      </c>
      <c r="T122" t="str">
        <f>"tackles: "&amp;$P$17&amp;","</f>
        <v>tackles: ,</v>
      </c>
      <c r="U122" t="str">
        <f>"tackles: "&amp;$P$18&amp;","</f>
        <v>tackles: ,</v>
      </c>
      <c r="V122" t="str">
        <f>"tackles: "&amp;$P$16&amp;","</f>
        <v>tackles: ,</v>
      </c>
      <c r="W122" t="str">
        <f>"tackles: "&amp;$P$6&amp;","</f>
        <v>tackles: ,</v>
      </c>
    </row>
    <row r="123" spans="1:23" x14ac:dyDescent="0.3">
      <c r="A123" t="str">
        <f>"interceptions: "&amp;$Q$4&amp;","</f>
        <v>interceptions: ,</v>
      </c>
      <c r="B123" t="str">
        <f>"interceptions: "&amp;$Q$15&amp;","</f>
        <v>interceptions: ,</v>
      </c>
      <c r="C123" t="str">
        <f>"interceptions: "&amp;$Q$9&amp;","</f>
        <v>interceptions: ,</v>
      </c>
      <c r="D123" t="str">
        <f>"interceptions: "&amp;$Q$24&amp;","</f>
        <v>interceptions: ,</v>
      </c>
      <c r="E123" t="str">
        <f>"interceptions: "&amp;$Q$12&amp;","</f>
        <v>interceptions: ,</v>
      </c>
      <c r="F123" t="str">
        <f>"interceptions: "&amp;$Q$22&amp;","</f>
        <v>interceptions: ,</v>
      </c>
      <c r="G123" t="str">
        <f>"interceptions: "&amp;$Q$3&amp;","</f>
        <v>interceptions: ,</v>
      </c>
      <c r="H123" t="str">
        <f>"interceptions: "&amp;$Q$7&amp;","</f>
        <v>interceptions: ,</v>
      </c>
      <c r="I123" t="str">
        <f>"interceptions: "&amp;$Q$8&amp;","</f>
        <v>interceptions: ,</v>
      </c>
      <c r="J123" t="str">
        <f>"interceptions: "&amp;$Q$23&amp;","</f>
        <v>interceptions: ,</v>
      </c>
      <c r="K123" t="str">
        <f>"interceptions: "&amp;$Q$20&amp;","</f>
        <v>interceptions: ,</v>
      </c>
      <c r="L123" t="str">
        <f>"interceptions: "&amp;$Q$14&amp;","</f>
        <v>interceptions: ,</v>
      </c>
      <c r="M123" t="str">
        <f>"interceptions: "&amp;$Q$21&amp;","</f>
        <v>interceptions: ,</v>
      </c>
      <c r="N123" t="str">
        <f>"interceptions: "&amp;$Q$11&amp;","</f>
        <v>interceptions: ,</v>
      </c>
      <c r="O123" t="str">
        <f>"interceptions: "&amp;$Q$13&amp;","</f>
        <v>interceptions: ,</v>
      </c>
      <c r="P123" t="str">
        <f>"interceptions: "&amp;$Q$5&amp;","</f>
        <v>interceptions: ,</v>
      </c>
      <c r="Q123" t="str">
        <f>"interceptions: "&amp;$Q$10&amp;","</f>
        <v>interceptions: ,</v>
      </c>
      <c r="R123" t="str">
        <f>"interceptions: "&amp;$Q$2&amp;","</f>
        <v>interceptions: ,</v>
      </c>
      <c r="S123" t="str">
        <f>"interceptions: "&amp;$Q$19&amp;","</f>
        <v>interceptions: ,</v>
      </c>
      <c r="T123" t="str">
        <f>"interceptions: "&amp;$Q$17&amp;","</f>
        <v>interceptions: ,</v>
      </c>
      <c r="U123" t="str">
        <f>"interceptions: "&amp;$Q$18&amp;","</f>
        <v>interceptions: ,</v>
      </c>
      <c r="V123" t="str">
        <f>"interceptions: "&amp;$Q$16&amp;","</f>
        <v>interceptions: ,</v>
      </c>
      <c r="W123" t="str">
        <f>"interceptions: "&amp;$Q$6&amp;","</f>
        <v>interceptions: ,</v>
      </c>
    </row>
    <row r="124" spans="1:23" x14ac:dyDescent="0.3">
      <c r="A124" t="str">
        <f>"fhRegains: "&amp;$R$4&amp;","</f>
        <v>fhRegains: ,</v>
      </c>
      <c r="B124" t="str">
        <f>"fhRegains: "&amp;$R$15&amp;","</f>
        <v>fhRegains: ,</v>
      </c>
      <c r="C124" t="str">
        <f>"fhRegains: "&amp;$R$9&amp;","</f>
        <v>fhRegains: ,</v>
      </c>
      <c r="D124" t="str">
        <f>"fhRegains: "&amp;$R$24&amp;","</f>
        <v>fhRegains: ,</v>
      </c>
      <c r="E124" t="str">
        <f>"fhRegains: "&amp;$R$12&amp;","</f>
        <v>fhRegains: ,</v>
      </c>
      <c r="F124" t="str">
        <f>"fhRegains: "&amp;$R$22&amp;","</f>
        <v>fhRegains: ,</v>
      </c>
      <c r="G124" t="str">
        <f>"fhRegains: "&amp;$R$3&amp;","</f>
        <v>fhRegains: ,</v>
      </c>
      <c r="H124" t="str">
        <f>"fhRegains: "&amp;$R$7&amp;","</f>
        <v>fhRegains: ,</v>
      </c>
      <c r="I124" t="str">
        <f>"fhRegains: "&amp;$R$8&amp;","</f>
        <v>fhRegains: ,</v>
      </c>
      <c r="J124" t="str">
        <f>"fhRegains: "&amp;$R$23&amp;","</f>
        <v>fhRegains: ,</v>
      </c>
      <c r="K124" t="str">
        <f>"fhRegains: "&amp;$R$20&amp;","</f>
        <v>fhRegains: ,</v>
      </c>
      <c r="L124" t="str">
        <f>"fhRegains: "&amp;$R$14&amp;","</f>
        <v>fhRegains: ,</v>
      </c>
      <c r="M124" t="str">
        <f>"fhRegains: "&amp;$R$21&amp;","</f>
        <v>fhRegains: ,</v>
      </c>
      <c r="N124" t="str">
        <f>"fhRegains: "&amp;$R$11&amp;","</f>
        <v>fhRegains: ,</v>
      </c>
      <c r="O124" t="str">
        <f>"fhRegains: "&amp;$R$13&amp;","</f>
        <v>fhRegains: ,</v>
      </c>
      <c r="P124" t="str">
        <f>"fhRegains: "&amp;$R$5&amp;","</f>
        <v>fhRegains: ,</v>
      </c>
      <c r="Q124" t="str">
        <f>"fhRegains: "&amp;$R$10&amp;","</f>
        <v>fhRegains: ,</v>
      </c>
      <c r="R124" t="str">
        <f>"fhRegains: "&amp;$R$2&amp;","</f>
        <v>fhRegains: ,</v>
      </c>
      <c r="S124" t="str">
        <f>"fhRegains: "&amp;$R$19&amp;","</f>
        <v>fhRegains: ,</v>
      </c>
      <c r="T124" t="str">
        <f>"fhRegains: "&amp;$R$17&amp;","</f>
        <v>fhRegains: ,</v>
      </c>
      <c r="U124" t="str">
        <f>"fhRegains: "&amp;$R$18&amp;","</f>
        <v>fhRegains: ,</v>
      </c>
      <c r="V124" t="str">
        <f>"fhRegains: "&amp;$R$16&amp;","</f>
        <v>fhRegains: ,</v>
      </c>
      <c r="W124" t="str">
        <f>"fhRegains: "&amp;$R$6&amp;","</f>
        <v>fhRegains: ,</v>
      </c>
    </row>
    <row r="125" spans="1:23" x14ac:dyDescent="0.3">
      <c r="A125" t="str">
        <f>"blocks: "&amp;$S$4&amp;","</f>
        <v>blocks: ,</v>
      </c>
      <c r="B125" t="str">
        <f>"blocks: "&amp;$S$15&amp;","</f>
        <v>blocks: ,</v>
      </c>
      <c r="C125" t="str">
        <f>"blocks: "&amp;$S$9&amp;","</f>
        <v>blocks: ,</v>
      </c>
      <c r="D125" t="str">
        <f>"blocks: "&amp;$S$24&amp;","</f>
        <v>blocks: ,</v>
      </c>
      <c r="E125" t="str">
        <f>"blocks: "&amp;$S$12&amp;","</f>
        <v>blocks: ,</v>
      </c>
      <c r="F125" t="str">
        <f>"blocks: "&amp;$S$22&amp;","</f>
        <v>blocks: ,</v>
      </c>
      <c r="G125" t="str">
        <f>"blocks: "&amp;$S$3&amp;","</f>
        <v>blocks: ,</v>
      </c>
      <c r="H125" t="str">
        <f>"blocks: "&amp;$S$7&amp;","</f>
        <v>blocks: ,</v>
      </c>
      <c r="I125" t="str">
        <f>"blocks: "&amp;$S$8&amp;","</f>
        <v>blocks: ,</v>
      </c>
      <c r="J125" t="str">
        <f>"blocks: "&amp;$S$23&amp;","</f>
        <v>blocks: ,</v>
      </c>
      <c r="K125" t="str">
        <f>"blocks: "&amp;$S$20&amp;","</f>
        <v>blocks: ,</v>
      </c>
      <c r="L125" t="str">
        <f>"blocks: "&amp;$S$14&amp;","</f>
        <v>blocks: ,</v>
      </c>
      <c r="M125" t="str">
        <f>"blocks: "&amp;$S$21&amp;","</f>
        <v>blocks: ,</v>
      </c>
      <c r="N125" t="str">
        <f>"blocks: "&amp;$S$11&amp;","</f>
        <v>blocks: ,</v>
      </c>
      <c r="O125" t="str">
        <f>"blocks: "&amp;$S$13&amp;","</f>
        <v>blocks: ,</v>
      </c>
      <c r="P125" t="str">
        <f>"blocks: "&amp;$S$5&amp;","</f>
        <v>blocks: ,</v>
      </c>
      <c r="Q125" t="str">
        <f>"blocks: "&amp;$S$10&amp;","</f>
        <v>blocks: ,</v>
      </c>
      <c r="R125" t="str">
        <f>"blocks: "&amp;$S$2&amp;","</f>
        <v>blocks: ,</v>
      </c>
      <c r="S125" t="str">
        <f>"blocks: "&amp;$S$19&amp;","</f>
        <v>blocks: ,</v>
      </c>
      <c r="T125" t="str">
        <f>"blocks: "&amp;$S$17&amp;","</f>
        <v>blocks: ,</v>
      </c>
      <c r="U125" t="str">
        <f>"blocks: "&amp;$S$18&amp;","</f>
        <v>blocks: ,</v>
      </c>
      <c r="V125" t="str">
        <f>"blocks: "&amp;$S$16&amp;","</f>
        <v>blocks: ,</v>
      </c>
      <c r="W125" t="str">
        <f>"blocks: "&amp;$S$6&amp;","</f>
        <v>blocks: ,</v>
      </c>
    </row>
    <row r="126" spans="1:23" x14ac:dyDescent="0.3">
      <c r="A126" t="str">
        <f>"clearances: "&amp;$T$4&amp;","</f>
        <v>clearances: ,</v>
      </c>
      <c r="B126" t="str">
        <f>"clearances: "&amp;$T$15&amp;","</f>
        <v>clearances: ,</v>
      </c>
      <c r="C126" t="str">
        <f>"clearances: "&amp;$T$9&amp;","</f>
        <v>clearances: ,</v>
      </c>
      <c r="D126" t="str">
        <f>"clearances: "&amp;$T$24&amp;","</f>
        <v>clearances: ,</v>
      </c>
      <c r="E126" t="str">
        <f>"clearances: "&amp;$T$12&amp;","</f>
        <v>clearances: ,</v>
      </c>
      <c r="F126" t="str">
        <f>"clearances: "&amp;$T$22&amp;","</f>
        <v>clearances: ,</v>
      </c>
      <c r="G126" t="str">
        <f>"clearances: "&amp;$T$3&amp;","</f>
        <v>clearances: ,</v>
      </c>
      <c r="H126" t="str">
        <f>"clearances: "&amp;$T$7&amp;","</f>
        <v>clearances: ,</v>
      </c>
      <c r="I126" t="str">
        <f>"clearances: "&amp;$T$8&amp;","</f>
        <v>clearances: ,</v>
      </c>
      <c r="J126" t="str">
        <f>"clearances: "&amp;$T$23&amp;","</f>
        <v>clearances: ,</v>
      </c>
      <c r="K126" t="str">
        <f>"clearances: "&amp;$T$20&amp;","</f>
        <v>clearances: ,</v>
      </c>
      <c r="L126" t="str">
        <f>"clearances: "&amp;$T$14&amp;","</f>
        <v>clearances: ,</v>
      </c>
      <c r="M126" t="str">
        <f>"clearances: "&amp;$T$21&amp;","</f>
        <v>clearances: ,</v>
      </c>
      <c r="N126" t="str">
        <f>"clearances: "&amp;$T$11&amp;","</f>
        <v>clearances: ,</v>
      </c>
      <c r="O126" t="str">
        <f>"clearances: "&amp;$T$13&amp;","</f>
        <v>clearances: ,</v>
      </c>
      <c r="P126" t="str">
        <f>"clearances: "&amp;$T$5&amp;","</f>
        <v>clearances: ,</v>
      </c>
      <c r="Q126" t="str">
        <f>"clearances: "&amp;$T$10&amp;","</f>
        <v>clearances: ,</v>
      </c>
      <c r="R126" t="str">
        <f>"clearances: "&amp;$T$2&amp;","</f>
        <v>clearances: ,</v>
      </c>
      <c r="S126" t="str">
        <f>"clearances: "&amp;$T$19&amp;","</f>
        <v>clearances: ,</v>
      </c>
      <c r="T126" t="str">
        <f>"clearances: "&amp;$T$17&amp;","</f>
        <v>clearances: ,</v>
      </c>
      <c r="U126" t="str">
        <f>"clearances: "&amp;$T$18&amp;","</f>
        <v>clearances: ,</v>
      </c>
      <c r="V126" t="str">
        <f>"clearances: "&amp;$T$16&amp;","</f>
        <v>clearances: ,</v>
      </c>
      <c r="W126" t="str">
        <f>"clearances: "&amp;$T$6&amp;","</f>
        <v>clearances: ,</v>
      </c>
    </row>
    <row r="127" spans="1:23" x14ac:dyDescent="0.3">
      <c r="A127" t="str">
        <f>"separations: "&amp;$U$4&amp;","</f>
        <v>separations: ,</v>
      </c>
      <c r="B127" t="str">
        <f>"separations: "&amp;$U$15&amp;","</f>
        <v>separations: ,</v>
      </c>
      <c r="C127" t="str">
        <f>"separations: "&amp;$U$9&amp;","</f>
        <v>separations: ,</v>
      </c>
      <c r="D127" t="str">
        <f>"separations: "&amp;$U$24&amp;","</f>
        <v>separations: ,</v>
      </c>
      <c r="E127" t="str">
        <f>"separations: "&amp;$U$12&amp;","</f>
        <v>separations: ,</v>
      </c>
      <c r="F127" t="str">
        <f>"separations: "&amp;$U$22&amp;","</f>
        <v>separations: ,</v>
      </c>
      <c r="G127" t="str">
        <f>"separations: "&amp;$U$3&amp;","</f>
        <v>separations: ,</v>
      </c>
      <c r="H127" t="str">
        <f>"separations: "&amp;$U$7&amp;","</f>
        <v>separations: ,</v>
      </c>
      <c r="I127" t="str">
        <f>"separations: "&amp;$U$8&amp;","</f>
        <v>separations: ,</v>
      </c>
      <c r="J127" t="str">
        <f>"separations: "&amp;$U$23&amp;","</f>
        <v>separations: ,</v>
      </c>
      <c r="K127" t="str">
        <f>"separations: "&amp;$U$20&amp;","</f>
        <v>separations: ,</v>
      </c>
      <c r="L127" t="str">
        <f>"separations: "&amp;$U$14&amp;","</f>
        <v>separations: ,</v>
      </c>
      <c r="M127" t="str">
        <f>"separations: "&amp;$U$21&amp;","</f>
        <v>separations: ,</v>
      </c>
      <c r="N127" t="str">
        <f>"separations: "&amp;$U$11&amp;","</f>
        <v>separations: ,</v>
      </c>
      <c r="O127" t="str">
        <f>"separations: "&amp;$U$13&amp;","</f>
        <v>separations: ,</v>
      </c>
      <c r="P127" t="str">
        <f>"separations: "&amp;$U$5&amp;","</f>
        <v>separations: ,</v>
      </c>
      <c r="Q127" t="str">
        <f>"separations: "&amp;$U$10&amp;","</f>
        <v>separations: ,</v>
      </c>
      <c r="R127" t="str">
        <f>"separations: "&amp;$U$2&amp;","</f>
        <v>separations: ,</v>
      </c>
      <c r="S127" t="str">
        <f>"separations: "&amp;$U$19&amp;","</f>
        <v>separations: ,</v>
      </c>
      <c r="T127" t="str">
        <f>"separations: "&amp;$U$17&amp;","</f>
        <v>separations: ,</v>
      </c>
      <c r="U127" t="str">
        <f>"separations: "&amp;$U$18&amp;","</f>
        <v>separations: ,</v>
      </c>
      <c r="V127" t="str">
        <f>"separations: "&amp;$U$16&amp;","</f>
        <v>separations: ,</v>
      </c>
      <c r="W127" t="str">
        <f>"separations: "&amp;$U$6&amp;","</f>
        <v>separations: ,</v>
      </c>
    </row>
    <row r="128" spans="1:23" x14ac:dyDescent="0.3">
      <c r="A128" t="str">
        <f>"headers: "&amp;$V$4&amp;","</f>
        <v>headers: ,</v>
      </c>
      <c r="B128" t="str">
        <f>"headers: "&amp;$V$15&amp;","</f>
        <v>headers: ,</v>
      </c>
      <c r="C128" t="str">
        <f>"headers: "&amp;$V$9&amp;","</f>
        <v>headers: ,</v>
      </c>
      <c r="D128" t="str">
        <f>"headers: "&amp;$V$24&amp;","</f>
        <v>headers: ,</v>
      </c>
      <c r="E128" t="str">
        <f>"headers: "&amp;$V$12&amp;","</f>
        <v>headers: ,</v>
      </c>
      <c r="F128" t="str">
        <f>"headers: "&amp;$V$22&amp;","</f>
        <v>headers: ,</v>
      </c>
      <c r="G128" t="str">
        <f>"headers: "&amp;$V$3&amp;","</f>
        <v>headers: ,</v>
      </c>
      <c r="H128" t="str">
        <f>"headers: "&amp;$V$7&amp;","</f>
        <v>headers: ,</v>
      </c>
      <c r="I128" t="str">
        <f>"headers: "&amp;$V$8&amp;","</f>
        <v>headers: ,</v>
      </c>
      <c r="J128" t="str">
        <f>"headers: "&amp;$V$23&amp;","</f>
        <v>headers: ,</v>
      </c>
      <c r="K128" t="str">
        <f>"headers: "&amp;$V$20&amp;","</f>
        <v>headers: ,</v>
      </c>
      <c r="L128" t="str">
        <f>"headers: "&amp;$V$14&amp;","</f>
        <v>headers: ,</v>
      </c>
      <c r="M128" t="str">
        <f>"headers: "&amp;$V$21&amp;","</f>
        <v>headers: ,</v>
      </c>
      <c r="N128" t="str">
        <f>"headers: "&amp;$V$11&amp;","</f>
        <v>headers: ,</v>
      </c>
      <c r="O128" t="str">
        <f>"headers: "&amp;$V$13&amp;","</f>
        <v>headers: ,</v>
      </c>
      <c r="P128" t="str">
        <f>"headers: "&amp;$V$5&amp;","</f>
        <v>headers: ,</v>
      </c>
      <c r="Q128" t="str">
        <f>"headers: "&amp;$V$10&amp;","</f>
        <v>headers: ,</v>
      </c>
      <c r="R128" t="str">
        <f>"headers: "&amp;$V$2&amp;","</f>
        <v>headers: ,</v>
      </c>
      <c r="S128" t="str">
        <f>"headers: "&amp;$V$19&amp;","</f>
        <v>headers: ,</v>
      </c>
      <c r="T128" t="str">
        <f>"headers: "&amp;$V$17&amp;","</f>
        <v>headers: ,</v>
      </c>
      <c r="U128" t="str">
        <f>"headers: "&amp;$V$18&amp;","</f>
        <v>headers: ,</v>
      </c>
      <c r="V128" t="str">
        <f>"headers: "&amp;$V$16&amp;","</f>
        <v>headers: ,</v>
      </c>
      <c r="W128" t="str">
        <f>"headers: "&amp;$V$6&amp;","</f>
        <v>headers: ,</v>
      </c>
    </row>
    <row r="129" spans="1:23" x14ac:dyDescent="0.3">
      <c r="A129" t="str">
        <f>"stopFwdCA: "&amp;$W$4&amp;","</f>
        <v>stopFwdCA: ,</v>
      </c>
      <c r="B129" t="str">
        <f>"stopFwdCA: "&amp;$W$15&amp;","</f>
        <v>stopFwdCA: ,</v>
      </c>
      <c r="C129" t="str">
        <f>"stopFwdCA: "&amp;$W$9&amp;","</f>
        <v>stopFwdCA: ,</v>
      </c>
      <c r="D129" t="str">
        <f>"stopFwdCA: "&amp;$W$24&amp;","</f>
        <v>stopFwdCA: ,</v>
      </c>
      <c r="E129" t="str">
        <f>"stopFwdCA: "&amp;$W$12&amp;","</f>
        <v>stopFwdCA: ,</v>
      </c>
      <c r="F129" t="str">
        <f>"stopFwdCA: "&amp;$W$22&amp;","</f>
        <v>stopFwdCA: ,</v>
      </c>
      <c r="G129" t="str">
        <f>"stopFwdCA: "&amp;$W$3&amp;","</f>
        <v>stopFwdCA: ,</v>
      </c>
      <c r="H129" t="str">
        <f>"stopFwdCA: "&amp;$W$7&amp;","</f>
        <v>stopFwdCA: ,</v>
      </c>
      <c r="I129" t="str">
        <f>"stopFwdCA: "&amp;$W$8&amp;","</f>
        <v>stopFwdCA: ,</v>
      </c>
      <c r="J129" t="str">
        <f>"stopFwdCA: "&amp;$W$23&amp;","</f>
        <v>stopFwdCA: ,</v>
      </c>
      <c r="K129" t="str">
        <f>"stopFwdCA: "&amp;$W$20&amp;","</f>
        <v>stopFwdCA: ,</v>
      </c>
      <c r="L129" t="str">
        <f>"stopFwdCA: "&amp;$W$14&amp;","</f>
        <v>stopFwdCA: ,</v>
      </c>
      <c r="M129" t="str">
        <f>"stopFwdCA: "&amp;$W$21&amp;","</f>
        <v>stopFwdCA: ,</v>
      </c>
      <c r="N129" t="str">
        <f>"stopFwdCA: "&amp;$W$11&amp;","</f>
        <v>stopFwdCA: ,</v>
      </c>
      <c r="O129" t="str">
        <f>"stopFwdCA: "&amp;$W$13&amp;","</f>
        <v>stopFwdCA: ,</v>
      </c>
      <c r="P129" t="str">
        <f>"stopFwdCA: "&amp;$W$5&amp;","</f>
        <v>stopFwdCA: ,</v>
      </c>
      <c r="Q129" t="str">
        <f>"stopFwdCA: "&amp;$W$10&amp;","</f>
        <v>stopFwdCA: ,</v>
      </c>
      <c r="R129" t="str">
        <f>"stopFwdCA: "&amp;$W$2&amp;","</f>
        <v>stopFwdCA: ,</v>
      </c>
      <c r="S129" t="str">
        <f>"stopFwdCA: "&amp;$W$19&amp;","</f>
        <v>stopFwdCA: ,</v>
      </c>
      <c r="T129" t="str">
        <f>"stopFwdCA: "&amp;$W$17&amp;","</f>
        <v>stopFwdCA: ,</v>
      </c>
      <c r="U129" t="str">
        <f>"stopFwdCA: "&amp;$W$18&amp;","</f>
        <v>stopFwdCA: ,</v>
      </c>
      <c r="V129" t="str">
        <f>"stopFwdCA: "&amp;$W$16&amp;","</f>
        <v>stopFwdCA: ,</v>
      </c>
      <c r="W129" t="str">
        <f>"stopFwdCA: "&amp;$W$6&amp;","</f>
        <v>stopFwdCA: ,</v>
      </c>
    </row>
    <row r="130" spans="1:23" x14ac:dyDescent="0.3">
      <c r="A130" t="str">
        <f>"totalDefActMin: "&amp;TEXT($Y$4,"0.00")&amp;","</f>
        <v>totalDefActMin: 0.00,</v>
      </c>
      <c r="B130" t="str">
        <f>"totalDefActMin: "&amp;TEXT($Y$15,"0.00")&amp;","</f>
        <v>totalDefActMin: 0.00,</v>
      </c>
      <c r="C130" t="str">
        <f>"totalDefActMin: "&amp;TEXT($Y$9,"0.00")&amp;","</f>
        <v>totalDefActMin: 0.00,</v>
      </c>
      <c r="D130" t="str">
        <f>"totalDefActMin: "&amp;TEXT($Y$24,"0.00")&amp;","</f>
        <v>totalDefActMin: 0.00,</v>
      </c>
      <c r="E130" t="str">
        <f>"totalDefActMin: "&amp;TEXT($Y$12,"0.00")&amp;","</f>
        <v>totalDefActMin: 0.00,</v>
      </c>
      <c r="F130" t="str">
        <f>"totalDefActMin: "&amp;TEXT($Y$22,"0.00")&amp;","</f>
        <v>totalDefActMin: 0.00,</v>
      </c>
      <c r="G130" t="str">
        <f>"totalDefActMin: "&amp;TEXT($Y$3,"0.00")&amp;","</f>
        <v>totalDefActMin: 0.00,</v>
      </c>
      <c r="H130" t="str">
        <f>"totalDefActMin: "&amp;TEXT($Y$7,"0.00")&amp;","</f>
        <v>totalDefActMin: 0.00,</v>
      </c>
      <c r="I130" t="str">
        <f>"totalDefActMin: "&amp;TEXT($Y$8,"0.00")&amp;","</f>
        <v>totalDefActMin: 0.00,</v>
      </c>
      <c r="J130" t="str">
        <f>"totalDefActMin: "&amp;TEXT($Y$23,"0.00")&amp;","</f>
        <v>totalDefActMin: 0.00,</v>
      </c>
      <c r="K130" t="str">
        <f>"totalDefActMin: "&amp;TEXT($Y$20,"0.00")&amp;","</f>
        <v>totalDefActMin: 0.00,</v>
      </c>
      <c r="L130" t="str">
        <f>"totalDefActMin: "&amp;TEXT($Y$14,"0.00")&amp;","</f>
        <v>totalDefActMin: 0.00,</v>
      </c>
      <c r="M130" t="str">
        <f>"totalDefActMin: "&amp;TEXT($Y$21,"0.00")&amp;","</f>
        <v>totalDefActMin: 0.00,</v>
      </c>
      <c r="N130" t="str">
        <f>"totalDefActMin: "&amp;TEXT($Y$11,"0.00")&amp;","</f>
        <v>totalDefActMin: 0.00,</v>
      </c>
      <c r="O130" t="str">
        <f>"totalDefActMin: "&amp;TEXT($Y$13,"0.00")&amp;","</f>
        <v>totalDefActMin: 0.00,</v>
      </c>
      <c r="P130" t="str">
        <f>"totalDefActMin: "&amp;TEXT($Y$5,"0.00")&amp;","</f>
        <v>totalDefActMin: 0.00,</v>
      </c>
      <c r="Q130" t="str">
        <f>"totalDefActMin: "&amp;TEXT($Y$10,"0.00")&amp;","</f>
        <v>totalDefActMin: 0.00,</v>
      </c>
      <c r="R130" t="str">
        <f>"totalDefActMin: "&amp;TEXT($Y$2,"0.00")&amp;","</f>
        <v>totalDefActMin: 0.00,</v>
      </c>
      <c r="S130" t="str">
        <f>"totalDefActMin: "&amp;TEXT($Y$19,"0.00")&amp;","</f>
        <v>totalDefActMin: 0.00,</v>
      </c>
      <c r="T130" t="str">
        <f>"totalDefActMin: "&amp;TEXT($Y$17,"0.00")&amp;","</f>
        <v>totalDefActMin: 0.00,</v>
      </c>
      <c r="U130" t="str">
        <f>"totalDefActMin: "&amp;TEXT($Y$18,"0.00")&amp;","</f>
        <v>totalDefActMin: 0.00,</v>
      </c>
      <c r="V130" t="str">
        <f>"totalDefActMin: "&amp;TEXT($Y$16,"0.00")&amp;","</f>
        <v>totalDefActMin: 0.00,</v>
      </c>
      <c r="W130" t="str">
        <f>"totalDefActMin: "&amp;TEXT($Y$6,"0.00")&amp;","</f>
        <v>totalDefActMin: 0.00,</v>
      </c>
    </row>
    <row r="131" spans="1:23" x14ac:dyDescent="0.3">
      <c r="A131" t="str">
        <f>"totalActions: "&amp;$Z$4&amp;","</f>
        <v>totalActions: ,</v>
      </c>
      <c r="B131" t="str">
        <f t="shared" ref="B131" si="4">"totalActions: "&amp;$Z$4&amp;","</f>
        <v>totalActions: ,</v>
      </c>
      <c r="C131" t="str">
        <f>"totalActions: "&amp;$Z$9&amp;","</f>
        <v>totalActions: ,</v>
      </c>
      <c r="D131" t="str">
        <f>"totalActions: "&amp;$Z$24&amp;","</f>
        <v>totalActions: ,</v>
      </c>
      <c r="E131" t="str">
        <f>"totalActions: "&amp;$Z$12&amp;","</f>
        <v>totalActions: ,</v>
      </c>
      <c r="F131" t="str">
        <f>"totalActions: "&amp;$Z$22&amp;","</f>
        <v>totalActions: ,</v>
      </c>
      <c r="G131" t="str">
        <f>"totalActions: "&amp;$Z$3&amp;","</f>
        <v>totalActions: ,</v>
      </c>
      <c r="H131" t="str">
        <f>"totalActions: "&amp;$Z$7&amp;","</f>
        <v>totalActions: ,</v>
      </c>
      <c r="I131" t="str">
        <f>"totalActions: "&amp;$Z$8&amp;","</f>
        <v>totalActions: ,</v>
      </c>
      <c r="J131" t="str">
        <f>"totalActions: "&amp;$Z$23&amp;","</f>
        <v>totalActions: ,</v>
      </c>
      <c r="K131" t="str">
        <f>"totalActions: "&amp;$Z$20&amp;","</f>
        <v>totalActions: ,</v>
      </c>
      <c r="L131" t="str">
        <f>"totalActions: "&amp;$Z$14&amp;","</f>
        <v>totalActions: ,</v>
      </c>
      <c r="M131" t="str">
        <f>"totalActions: "&amp;$Z$21&amp;","</f>
        <v>totalActions: ,</v>
      </c>
      <c r="N131" t="str">
        <f>"totalActions: "&amp;$Z$11&amp;","</f>
        <v>totalActions: ,</v>
      </c>
      <c r="O131" t="str">
        <f>"totalActions: "&amp;$Z$13&amp;","</f>
        <v>totalActions: ,</v>
      </c>
      <c r="P131" t="str">
        <f>"totalActions: "&amp;$Z$5&amp;","</f>
        <v>totalActions: ,</v>
      </c>
      <c r="Q131" t="str">
        <f>"totalActions: "&amp;$Z$10&amp;","</f>
        <v>totalActions: ,</v>
      </c>
      <c r="R131" t="str">
        <f>"totalActions: "&amp;$Z$2&amp;","</f>
        <v>totalActions: ,</v>
      </c>
      <c r="S131" t="str">
        <f>"totalActions: "&amp;$Z$19&amp;","</f>
        <v>totalActions: ,</v>
      </c>
      <c r="T131" t="str">
        <f>"totalActions: "&amp;$Z$17&amp;","</f>
        <v>totalActions: ,</v>
      </c>
      <c r="U131" t="str">
        <f>"totalActions: "&amp;$Z$18&amp;","</f>
        <v>totalActions: ,</v>
      </c>
      <c r="V131" t="str">
        <f>"totalActions: "&amp;$Z$16&amp;","</f>
        <v>totalActions: ,</v>
      </c>
      <c r="W131" t="str">
        <f>"totalActions: "&amp;$Z$6&amp;","</f>
        <v>totalActions: ,</v>
      </c>
    </row>
    <row r="133" spans="1:23" x14ac:dyDescent="0.3">
      <c r="A133" t="s">
        <v>27</v>
      </c>
      <c r="B133" t="s">
        <v>38</v>
      </c>
      <c r="C133" t="s">
        <v>32</v>
      </c>
      <c r="D133" t="s">
        <v>47</v>
      </c>
      <c r="E133" t="s">
        <v>35</v>
      </c>
      <c r="F133" t="s">
        <v>45</v>
      </c>
      <c r="G133" t="s">
        <v>26</v>
      </c>
      <c r="H133" t="s">
        <v>50</v>
      </c>
      <c r="I133" t="s">
        <v>51</v>
      </c>
      <c r="J133" t="s">
        <v>46</v>
      </c>
      <c r="K133" t="s">
        <v>43</v>
      </c>
      <c r="L133" t="s">
        <v>37</v>
      </c>
      <c r="M133" t="s">
        <v>52</v>
      </c>
      <c r="N133" t="s">
        <v>34</v>
      </c>
      <c r="O133" t="s">
        <v>36</v>
      </c>
      <c r="P133" t="s">
        <v>28</v>
      </c>
      <c r="Q133" t="s">
        <v>33</v>
      </c>
      <c r="R133" t="s">
        <v>25</v>
      </c>
      <c r="S133" t="s">
        <v>53</v>
      </c>
      <c r="T133" t="s">
        <v>40</v>
      </c>
      <c r="U133" t="s">
        <v>41</v>
      </c>
      <c r="V133" t="s">
        <v>39</v>
      </c>
      <c r="W133" t="s">
        <v>29</v>
      </c>
    </row>
    <row r="134" spans="1:23" x14ac:dyDescent="0.3">
      <c r="A134" s="3" t="str">
        <f>"&lt;p class=""stat-row-2""&gt;&lt;span class=""stat-label-2""&gt;Total Actions&lt;/span&gt;&lt;span class=""stat-value-2""&gt;"&amp;$N$4&amp;"&lt;/span&gt;&lt;/p&gt;"</f>
        <v>&lt;p class="stat-row-2"&gt;&lt;span class="stat-label-2"&gt;Total Actions&lt;/span&gt;&lt;span class="stat-value-2"&gt;&lt;/span&gt;&lt;/p&gt;</v>
      </c>
      <c r="B134" s="3" t="str">
        <f>"&lt;p class=""stat-row-2""&gt;&lt;span class=""stat-label-2""&gt;Total Actions&lt;/span&gt;&lt;span class=""stat-value-2""&gt;"&amp;$N$15&amp;"&lt;/span&gt;&lt;/p&gt;"</f>
        <v>&lt;p class="stat-row-2"&gt;&lt;span class="stat-label-2"&gt;Total Actions&lt;/span&gt;&lt;span class="stat-value-2"&gt;&lt;/span&gt;&lt;/p&gt;</v>
      </c>
      <c r="C134" s="3" t="str">
        <f>"&lt;p class=""stat-row-2""&gt;&lt;span class=""stat-label-2""&gt;Total Actions&lt;/span&gt;&lt;span class=""stat-value-2""&gt;"&amp;$N$9&amp;"&lt;/span&gt;&lt;/p&gt;"</f>
        <v>&lt;p class="stat-row-2"&gt;&lt;span class="stat-label-2"&gt;Total Actions&lt;/span&gt;&lt;span class="stat-value-2"&gt;&lt;/span&gt;&lt;/p&gt;</v>
      </c>
      <c r="D134" s="3" t="str">
        <f>"&lt;p class=""stat-row-2""&gt;&lt;span class=""stat-label-2""&gt;Total Actions&lt;/span&gt;&lt;span class=""stat-value-2""&gt;"&amp;$N$24&amp;"&lt;/span&gt;&lt;/p&gt;"</f>
        <v>&lt;p class="stat-row-2"&gt;&lt;span class="stat-label-2"&gt;Total Actions&lt;/span&gt;&lt;span class="stat-value-2"&gt;&lt;/span&gt;&lt;/p&gt;</v>
      </c>
      <c r="E134" s="3" t="str">
        <f>"&lt;p class=""stat-row-2""&gt;&lt;span class=""stat-label-2""&gt;Total Actions&lt;/span&gt;&lt;span class=""stat-value-2""&gt;"&amp;$N$12&amp;"&lt;/span&gt;&lt;/p&gt;"</f>
        <v>&lt;p class="stat-row-2"&gt;&lt;span class="stat-label-2"&gt;Total Actions&lt;/span&gt;&lt;span class="stat-value-2"&gt;&lt;/span&gt;&lt;/p&gt;</v>
      </c>
      <c r="F134" s="3" t="str">
        <f>"&lt;p class=""stat-row-2""&gt;&lt;span class=""stat-label-2""&gt;Total Actions&lt;/span&gt;&lt;span class=""stat-value-2""&gt;"&amp;$N$22&amp;"&lt;/span&gt;&lt;/p&gt;"</f>
        <v>&lt;p class="stat-row-2"&gt;&lt;span class="stat-label-2"&gt;Total Actions&lt;/span&gt;&lt;span class="stat-value-2"&gt;&lt;/span&gt;&lt;/p&gt;</v>
      </c>
      <c r="G134" s="3" t="str">
        <f>"&lt;p class=""stat-row-2""&gt;&lt;span class=""stat-label-2""&gt;Total Actions&lt;/span&gt;&lt;span class=""stat-value-2""&gt;"&amp;$N$3&amp;"&lt;/span&gt;&lt;/p&gt;"</f>
        <v>&lt;p class="stat-row-2"&gt;&lt;span class="stat-label-2"&gt;Total Actions&lt;/span&gt;&lt;span class="stat-value-2"&gt;&lt;/span&gt;&lt;/p&gt;</v>
      </c>
      <c r="H134" s="3" t="str">
        <f>"&lt;p class=""stat-row-2""&gt;&lt;span class=""stat-label-2""&gt;Total Actions&lt;/span&gt;&lt;span class=""stat-value-2""&gt;"&amp;$N$7&amp;"&lt;/span&gt;&lt;/p&gt;"</f>
        <v>&lt;p class="stat-row-2"&gt;&lt;span class="stat-label-2"&gt;Total Actions&lt;/span&gt;&lt;span class="stat-value-2"&gt;&lt;/span&gt;&lt;/p&gt;</v>
      </c>
      <c r="I134" s="3" t="str">
        <f>"&lt;p class=""stat-row-2""&gt;&lt;span class=""stat-label-2""&gt;Total Actions&lt;/span&gt;&lt;span class=""stat-value-2""&gt;"&amp;$N$8&amp;"&lt;/span&gt;&lt;/p&gt;"</f>
        <v>&lt;p class="stat-row-2"&gt;&lt;span class="stat-label-2"&gt;Total Actions&lt;/span&gt;&lt;span class="stat-value-2"&gt;&lt;/span&gt;&lt;/p&gt;</v>
      </c>
      <c r="J134" s="3" t="str">
        <f>"&lt;p class=""stat-row-2""&gt;&lt;span class=""stat-label-2""&gt;Total Actions&lt;/span&gt;&lt;span class=""stat-value-2""&gt;"&amp;$N$23&amp;"&lt;/span&gt;&lt;/p&gt;"</f>
        <v>&lt;p class="stat-row-2"&gt;&lt;span class="stat-label-2"&gt;Total Actions&lt;/span&gt;&lt;span class="stat-value-2"&gt;&lt;/span&gt;&lt;/p&gt;</v>
      </c>
      <c r="K134" s="3" t="str">
        <f>"&lt;p class=""stat-row-2""&gt;&lt;span class=""stat-label-2""&gt;Total Actions&lt;/span&gt;&lt;span class=""stat-value-2""&gt;"&amp;$N$20&amp;"&lt;/span&gt;&lt;/p&gt;"</f>
        <v>&lt;p class="stat-row-2"&gt;&lt;span class="stat-label-2"&gt;Total Actions&lt;/span&gt;&lt;span class="stat-value-2"&gt;&lt;/span&gt;&lt;/p&gt;</v>
      </c>
      <c r="L134" s="3" t="str">
        <f>"&lt;p class=""stat-row-2""&gt;&lt;span class=""stat-label-2""&gt;Total Actions&lt;/span&gt;&lt;span class=""stat-value-2""&gt;"&amp;$N$14&amp;"&lt;/span&gt;&lt;/p&gt;"</f>
        <v>&lt;p class="stat-row-2"&gt;&lt;span class="stat-label-2"&gt;Total Actions&lt;/span&gt;&lt;span class="stat-value-2"&gt;&lt;/span&gt;&lt;/p&gt;</v>
      </c>
      <c r="M134" s="3" t="str">
        <f>"&lt;p class=""stat-row-2""&gt;&lt;span class=""stat-label-2""&gt;Total Actions&lt;/span&gt;&lt;span class=""stat-value-2""&gt;"&amp;$N$21&amp;"&lt;/span&gt;&lt;/p&gt;"</f>
        <v>&lt;p class="stat-row-2"&gt;&lt;span class="stat-label-2"&gt;Total Actions&lt;/span&gt;&lt;span class="stat-value-2"&gt;&lt;/span&gt;&lt;/p&gt;</v>
      </c>
      <c r="N134" s="3" t="str">
        <f>"&lt;p class=""stat-row-2""&gt;&lt;span class=""stat-label-2""&gt;Total Actions&lt;/span&gt;&lt;span class=""stat-value-2""&gt;"&amp;$N$11&amp;"&lt;/span&gt;&lt;/p&gt;"</f>
        <v>&lt;p class="stat-row-2"&gt;&lt;span class="stat-label-2"&gt;Total Actions&lt;/span&gt;&lt;span class="stat-value-2"&gt;&lt;/span&gt;&lt;/p&gt;</v>
      </c>
      <c r="O134" s="3" t="str">
        <f>"&lt;p class=""stat-row-2""&gt;&lt;span class=""stat-label-2""&gt;Total Actions&lt;/span&gt;&lt;span class=""stat-value-2""&gt;"&amp;$N$13&amp;"&lt;/span&gt;&lt;/p&gt;"</f>
        <v>&lt;p class="stat-row-2"&gt;&lt;span class="stat-label-2"&gt;Total Actions&lt;/span&gt;&lt;span class="stat-value-2"&gt;&lt;/span&gt;&lt;/p&gt;</v>
      </c>
      <c r="P134" s="3" t="str">
        <f>"&lt;p class=""stat-row-2""&gt;&lt;span class=""stat-label-2""&gt;Total Actions&lt;/span&gt;&lt;span class=""stat-value-2""&gt;"&amp;$N$5&amp;"&lt;/span&gt;&lt;/p&gt;"</f>
        <v>&lt;p class="stat-row-2"&gt;&lt;span class="stat-label-2"&gt;Total Actions&lt;/span&gt;&lt;span class="stat-value-2"&gt;&lt;/span&gt;&lt;/p&gt;</v>
      </c>
      <c r="Q134" s="3" t="str">
        <f>"&lt;p class=""stat-row-2""&gt;&lt;span class=""stat-label-2""&gt;Total Actions&lt;/span&gt;&lt;span class=""stat-value-2""&gt;"&amp;$N$10&amp;"&lt;/span&gt;&lt;/p&gt;"</f>
        <v>&lt;p class="stat-row-2"&gt;&lt;span class="stat-label-2"&gt;Total Actions&lt;/span&gt;&lt;span class="stat-value-2"&gt;&lt;/span&gt;&lt;/p&gt;</v>
      </c>
      <c r="R134" s="3" t="str">
        <f>"&lt;p class=""stat-row-2""&gt;&lt;span class=""stat-label-2""&gt;Total Actions&lt;/span&gt;&lt;span class=""stat-value-2""&gt;"&amp;$N$2&amp;"&lt;/span&gt;&lt;/p&gt;"</f>
        <v>&lt;p class="stat-row-2"&gt;&lt;span class="stat-label-2"&gt;Total Actions&lt;/span&gt;&lt;span class="stat-value-2"&gt;&lt;/span&gt;&lt;/p&gt;</v>
      </c>
      <c r="S134" s="3" t="str">
        <f>"&lt;p class=""stat-row-2""&gt;&lt;span class=""stat-label-2""&gt;Total Actions&lt;/span&gt;&lt;span class=""stat-value-2""&gt;"&amp;$N$19&amp;"&lt;/span&gt;&lt;/p&gt;"</f>
        <v>&lt;p class="stat-row-2"&gt;&lt;span class="stat-label-2"&gt;Total Actions&lt;/span&gt;&lt;span class="stat-value-2"&gt;&lt;/span&gt;&lt;/p&gt;</v>
      </c>
      <c r="T134" s="3" t="str">
        <f>"&lt;p class=""stat-row-2""&gt;&lt;span class=""stat-label-2""&gt;Total Actions&lt;/span&gt;&lt;span class=""stat-value-2""&gt;"&amp;$N$17&amp;"&lt;/span&gt;&lt;/p&gt;"</f>
        <v>&lt;p class="stat-row-2"&gt;&lt;span class="stat-label-2"&gt;Total Actions&lt;/span&gt;&lt;span class="stat-value-2"&gt;&lt;/span&gt;&lt;/p&gt;</v>
      </c>
      <c r="U134" s="3" t="str">
        <f>"&lt;p class=""stat-row-2""&gt;&lt;span class=""stat-label-2""&gt;Total Actions&lt;/span&gt;&lt;span class=""stat-value-2""&gt;"&amp;$N$18&amp;"&lt;/span&gt;&lt;/p&gt;"</f>
        <v>&lt;p class="stat-row-2"&gt;&lt;span class="stat-label-2"&gt;Total Actions&lt;/span&gt;&lt;span class="stat-value-2"&gt;&lt;/span&gt;&lt;/p&gt;</v>
      </c>
      <c r="V134" s="3" t="str">
        <f>"&lt;p class=""stat-row-2""&gt;&lt;span class=""stat-label-2""&gt;Total Actions&lt;/span&gt;&lt;span class=""stat-value-2""&gt;"&amp;$N$16&amp;"&lt;/span&gt;&lt;/p&gt;"</f>
        <v>&lt;p class="stat-row-2"&gt;&lt;span class="stat-label-2"&gt;Total Actions&lt;/span&gt;&lt;span class="stat-value-2"&gt;&lt;/span&gt;&lt;/p&gt;</v>
      </c>
      <c r="W134" s="3" t="str">
        <f>"&lt;p class=""stat-row-2""&gt;&lt;span class=""stat-label-2""&gt;Total Actions&lt;/span&gt;&lt;span class=""stat-value-2""&gt;"&amp;$N$6&amp;"&lt;/span&gt;&lt;/p&gt;"</f>
        <v>&lt;p class="stat-row-2"&gt;&lt;span class="stat-label-2"&gt;Total Actions&lt;/span&gt;&lt;span class="stat-value-2"&gt;&lt;/span&gt;&lt;/p&gt;</v>
      </c>
    </row>
    <row r="135" spans="1:23" x14ac:dyDescent="0.3">
      <c r="A135" s="3" t="str">
        <f>"&lt;p class=""stat-row-2""&gt;&lt;span class=""stat-label-2""&gt;Actions / Min&lt;/span&gt;&lt;span class=""stat-value-2""&gt;"&amp;TEXT($O$4,"0.00")&amp;"&lt;/span&gt;&lt;/p&gt;"</f>
        <v>&lt;p class="stat-row-2"&gt;&lt;span class="stat-label-2"&gt;Actions / Min&lt;/span&gt;&lt;span class="stat-value-2"&gt;0.00&lt;/span&gt;&lt;/p&gt;</v>
      </c>
      <c r="B135" s="3" t="str">
        <f>"&lt;p class=""stat-row-2""&gt;&lt;span class=""stat-label-2""&gt;Actions / Min&lt;/span&gt;&lt;span class=""stat-value-2""&gt;"&amp;TEXT($O$15,"0.00")&amp;"&lt;/span&gt;&lt;/p&gt;"</f>
        <v>&lt;p class="stat-row-2"&gt;&lt;span class="stat-label-2"&gt;Actions / Min&lt;/span&gt;&lt;span class="stat-value-2"&gt;0.00&lt;/span&gt;&lt;/p&gt;</v>
      </c>
      <c r="C135" s="3" t="str">
        <f>"&lt;p class=""stat-row-2""&gt;&lt;span class=""stat-label-2""&gt;Actions / Min&lt;/span&gt;&lt;span class=""stat-value-2""&gt;"&amp;TEXT($O$9,"0.00")&amp;"&lt;/span&gt;&lt;/p&gt;"</f>
        <v>&lt;p class="stat-row-2"&gt;&lt;span class="stat-label-2"&gt;Actions / Min&lt;/span&gt;&lt;span class="stat-value-2"&gt;0.00&lt;/span&gt;&lt;/p&gt;</v>
      </c>
      <c r="D135" s="3" t="str">
        <f>"&lt;p class=""stat-row-2""&gt;&lt;span class=""stat-label-2""&gt;Actions / Min&lt;/span&gt;&lt;span class=""stat-value-2""&gt;"&amp;TEXT($O$24,"0.00")&amp;"&lt;/span&gt;&lt;/p&gt;"</f>
        <v>&lt;p class="stat-row-2"&gt;&lt;span class="stat-label-2"&gt;Actions / Min&lt;/span&gt;&lt;span class="stat-value-2"&gt;0.00&lt;/span&gt;&lt;/p&gt;</v>
      </c>
      <c r="E135" s="3" t="str">
        <f>"&lt;p class=""stat-row-2""&gt;&lt;span class=""stat-label-2""&gt;Actions / Min&lt;/span&gt;&lt;span class=""stat-value-2""&gt;"&amp;TEXT($O$12,"0.00")&amp;"&lt;/span&gt;&lt;/p&gt;"</f>
        <v>&lt;p class="stat-row-2"&gt;&lt;span class="stat-label-2"&gt;Actions / Min&lt;/span&gt;&lt;span class="stat-value-2"&gt;0.00&lt;/span&gt;&lt;/p&gt;</v>
      </c>
      <c r="F135" s="3" t="str">
        <f>"&lt;p class=""stat-row-2""&gt;&lt;span class=""stat-label-2""&gt;Actions / Min&lt;/span&gt;&lt;span class=""stat-value-2""&gt;"&amp;TEXT($O$22,"0.00")&amp;"&lt;/span&gt;&lt;/p&gt;"</f>
        <v>&lt;p class="stat-row-2"&gt;&lt;span class="stat-label-2"&gt;Actions / Min&lt;/span&gt;&lt;span class="stat-value-2"&gt;0.00&lt;/span&gt;&lt;/p&gt;</v>
      </c>
      <c r="G135" s="3" t="str">
        <f>"&lt;p class=""stat-row-2""&gt;&lt;span class=""stat-label-2""&gt;Actions / Min&lt;/span&gt;&lt;span class=""stat-value-2""&gt;"&amp;TEXT($O$3,"0.00")&amp;"&lt;/span&gt;&lt;/p&gt;"</f>
        <v>&lt;p class="stat-row-2"&gt;&lt;span class="stat-label-2"&gt;Actions / Min&lt;/span&gt;&lt;span class="stat-value-2"&gt;0.00&lt;/span&gt;&lt;/p&gt;</v>
      </c>
      <c r="H135" s="3" t="str">
        <f>"&lt;p class=""stat-row-2""&gt;&lt;span class=""stat-label-2""&gt;Actions / Min&lt;/span&gt;&lt;span class=""stat-value-2""&gt;"&amp;TEXT($O$7,"0.00")&amp;"&lt;/span&gt;&lt;/p&gt;"</f>
        <v>&lt;p class="stat-row-2"&gt;&lt;span class="stat-label-2"&gt;Actions / Min&lt;/span&gt;&lt;span class="stat-value-2"&gt;0.00&lt;/span&gt;&lt;/p&gt;</v>
      </c>
      <c r="I135" s="3" t="str">
        <f>"&lt;p class=""stat-row-2""&gt;&lt;span class=""stat-label-2""&gt;Actions / Min&lt;/span&gt;&lt;span class=""stat-value-2""&gt;"&amp;TEXT($O$8,"0.00")&amp;"&lt;/span&gt;&lt;/p&gt;"</f>
        <v>&lt;p class="stat-row-2"&gt;&lt;span class="stat-label-2"&gt;Actions / Min&lt;/span&gt;&lt;span class="stat-value-2"&gt;0.00&lt;/span&gt;&lt;/p&gt;</v>
      </c>
      <c r="J135" s="3" t="str">
        <f>"&lt;p class=""stat-row-2""&gt;&lt;span class=""stat-label-2""&gt;Actions / Min&lt;/span&gt;&lt;span class=""stat-value-2""&gt;"&amp;TEXT($O$23,"0.00")&amp;"&lt;/span&gt;&lt;/p&gt;"</f>
        <v>&lt;p class="stat-row-2"&gt;&lt;span class="stat-label-2"&gt;Actions / Min&lt;/span&gt;&lt;span class="stat-value-2"&gt;0.00&lt;/span&gt;&lt;/p&gt;</v>
      </c>
      <c r="K135" s="3" t="str">
        <f>"&lt;p class=""stat-row-2""&gt;&lt;span class=""stat-label-2""&gt;Actions / Min&lt;/span&gt;&lt;span class=""stat-value-2""&gt;"&amp;TEXT($O$20,"0.00")&amp;"&lt;/span&gt;&lt;/p&gt;"</f>
        <v>&lt;p class="stat-row-2"&gt;&lt;span class="stat-label-2"&gt;Actions / Min&lt;/span&gt;&lt;span class="stat-value-2"&gt;0.00&lt;/span&gt;&lt;/p&gt;</v>
      </c>
      <c r="L135" s="3" t="str">
        <f>"&lt;p class=""stat-row-2""&gt;&lt;span class=""stat-label-2""&gt;Actions / Min&lt;/span&gt;&lt;span class=""stat-value-2""&gt;"&amp;TEXT($O$14,"0.00")&amp;"&lt;/span&gt;&lt;/p&gt;"</f>
        <v>&lt;p class="stat-row-2"&gt;&lt;span class="stat-label-2"&gt;Actions / Min&lt;/span&gt;&lt;span class="stat-value-2"&gt;0.00&lt;/span&gt;&lt;/p&gt;</v>
      </c>
      <c r="M135" s="3" t="str">
        <f>"&lt;p class=""stat-row-2""&gt;&lt;span class=""stat-label-2""&gt;Actions / Min&lt;/span&gt;&lt;span class=""stat-value-2""&gt;"&amp;TEXT($O$21,"0.00")&amp;"&lt;/span&gt;&lt;/p&gt;"</f>
        <v>&lt;p class="stat-row-2"&gt;&lt;span class="stat-label-2"&gt;Actions / Min&lt;/span&gt;&lt;span class="stat-value-2"&gt;0.00&lt;/span&gt;&lt;/p&gt;</v>
      </c>
      <c r="N135" s="3" t="str">
        <f>"&lt;p class=""stat-row-2""&gt;&lt;span class=""stat-label-2""&gt;Actions / Min&lt;/span&gt;&lt;span class=""stat-value-2""&gt;"&amp;TEXT($O$11,"0.00")&amp;"&lt;/span&gt;&lt;/p&gt;"</f>
        <v>&lt;p class="stat-row-2"&gt;&lt;span class="stat-label-2"&gt;Actions / Min&lt;/span&gt;&lt;span class="stat-value-2"&gt;0.00&lt;/span&gt;&lt;/p&gt;</v>
      </c>
      <c r="O135" s="3" t="str">
        <f>"&lt;p class=""stat-row-2""&gt;&lt;span class=""stat-label-2""&gt;Actions / Min&lt;/span&gt;&lt;span class=""stat-value-2""&gt;"&amp;TEXT($O$13,"0.00")&amp;"&lt;/span&gt;&lt;/p&gt;"</f>
        <v>&lt;p class="stat-row-2"&gt;&lt;span class="stat-label-2"&gt;Actions / Min&lt;/span&gt;&lt;span class="stat-value-2"&gt;0.00&lt;/span&gt;&lt;/p&gt;</v>
      </c>
      <c r="P135" s="3" t="str">
        <f>"&lt;p class=""stat-row-2""&gt;&lt;span class=""stat-label-2""&gt;Actions / Min&lt;/span&gt;&lt;span class=""stat-value-2""&gt;"&amp;TEXT($O$5,"0.00")&amp;"&lt;/span&gt;&lt;/p&gt;"</f>
        <v>&lt;p class="stat-row-2"&gt;&lt;span class="stat-label-2"&gt;Actions / Min&lt;/span&gt;&lt;span class="stat-value-2"&gt;0.00&lt;/span&gt;&lt;/p&gt;</v>
      </c>
      <c r="Q135" s="3" t="str">
        <f>"&lt;p class=""stat-row-2""&gt;&lt;span class=""stat-label-2""&gt;Actions / Min&lt;/span&gt;&lt;span class=""stat-value-2""&gt;"&amp;TEXT($O$10,"0.00")&amp;"&lt;/span&gt;&lt;/p&gt;"</f>
        <v>&lt;p class="stat-row-2"&gt;&lt;span class="stat-label-2"&gt;Actions / Min&lt;/span&gt;&lt;span class="stat-value-2"&gt;0.00&lt;/span&gt;&lt;/p&gt;</v>
      </c>
      <c r="R135" s="3" t="str">
        <f>"&lt;p class=""stat-row-2""&gt;&lt;span class=""stat-label-2""&gt;Actions / Min&lt;/span&gt;&lt;span class=""stat-value-2""&gt;"&amp;TEXT($O$2,"0.00")&amp;"&lt;/span&gt;&lt;/p&gt;"</f>
        <v>&lt;p class="stat-row-2"&gt;&lt;span class="stat-label-2"&gt;Actions / Min&lt;/span&gt;&lt;span class="stat-value-2"&gt;0.00&lt;/span&gt;&lt;/p&gt;</v>
      </c>
      <c r="S135" s="3" t="str">
        <f>"&lt;p class=""stat-row-2""&gt;&lt;span class=""stat-label-2""&gt;Actions / Min&lt;/span&gt;&lt;span class=""stat-value-2""&gt;"&amp;TEXT($O$19,"0.00")&amp;"&lt;/span&gt;&lt;/p&gt;"</f>
        <v>&lt;p class="stat-row-2"&gt;&lt;span class="stat-label-2"&gt;Actions / Min&lt;/span&gt;&lt;span class="stat-value-2"&gt;0.00&lt;/span&gt;&lt;/p&gt;</v>
      </c>
      <c r="T135" s="3" t="str">
        <f>"&lt;p class=""stat-row-2""&gt;&lt;span class=""stat-label-2""&gt;Actions / Min&lt;/span&gt;&lt;span class=""stat-value-2""&gt;"&amp;TEXT($O$17,"0.00")&amp;"&lt;/span&gt;&lt;/p&gt;"</f>
        <v>&lt;p class="stat-row-2"&gt;&lt;span class="stat-label-2"&gt;Actions / Min&lt;/span&gt;&lt;span class="stat-value-2"&gt;0.00&lt;/span&gt;&lt;/p&gt;</v>
      </c>
      <c r="U135" s="3" t="str">
        <f>"&lt;p class=""stat-row-2""&gt;&lt;span class=""stat-label-2""&gt;Actions / Min&lt;/span&gt;&lt;span class=""stat-value-2""&gt;"&amp;TEXT($O$18,"0.00")&amp;"&lt;/span&gt;&lt;/p&gt;"</f>
        <v>&lt;p class="stat-row-2"&gt;&lt;span class="stat-label-2"&gt;Actions / Min&lt;/span&gt;&lt;span class="stat-value-2"&gt;0.00&lt;/span&gt;&lt;/p&gt;</v>
      </c>
      <c r="V135" s="3" t="str">
        <f>"&lt;p class=""stat-row-2""&gt;&lt;span class=""stat-label-2""&gt;Actions / Min&lt;/span&gt;&lt;span class=""stat-value-2""&gt;"&amp;TEXT($O$16,"0.00")&amp;"&lt;/span&gt;&lt;/p&gt;"</f>
        <v>&lt;p class="stat-row-2"&gt;&lt;span class="stat-label-2"&gt;Actions / Min&lt;/span&gt;&lt;span class="stat-value-2"&gt;0.00&lt;/span&gt;&lt;/p&gt;</v>
      </c>
      <c r="W135" s="3" t="str">
        <f>"&lt;p class=""stat-row-2""&gt;&lt;span class=""stat-label-2""&gt;Actions / Min&lt;/span&gt;&lt;span class=""stat-value-2""&gt;"&amp;TEXT($O$6,"0.00")&amp;"&lt;/span&gt;&lt;/p&gt;"</f>
        <v>&lt;p class="stat-row-2"&gt;&lt;span class="stat-label-2"&gt;Actions / Min&lt;/span&gt;&lt;span class="stat-value-2"&gt;0.00&lt;/span&gt;&lt;/p&gt;</v>
      </c>
    </row>
    <row r="136" spans="1:23" x14ac:dyDescent="0.3">
      <c r="A136" s="3" t="str">
        <f>"&lt;p class=""stat-row-2""&gt;&lt;span class=""stat-label-2""&gt;Goals&lt;/span&gt;&lt;span class=""stat-value-2""&gt;"&amp;$C$4&amp;"&lt;/span&gt;&lt;/p&gt;"</f>
        <v>&lt;p class="stat-row-2"&gt;&lt;span class="stat-label-2"&gt;Goals&lt;/span&gt;&lt;span class="stat-value-2"&gt;&lt;/span&gt;&lt;/p&gt;</v>
      </c>
      <c r="B136" s="3" t="str">
        <f>"&lt;p class=""stat-row-2""&gt;&lt;span class=""stat-label-2""&gt;Goals&lt;/span&gt;&lt;span class=""stat-value-2""&gt;"&amp;$C$15&amp;"&lt;/span&gt;&lt;/p&gt;"</f>
        <v>&lt;p class="stat-row-2"&gt;&lt;span class="stat-label-2"&gt;Goals&lt;/span&gt;&lt;span class="stat-value-2"&gt;&lt;/span&gt;&lt;/p&gt;</v>
      </c>
      <c r="C136" s="3" t="str">
        <f>"&lt;p class=""stat-row-2""&gt;&lt;span class=""stat-label-2""&gt;Goals&lt;/span&gt;&lt;span class=""stat-value-2""&gt;"&amp;$C$9&amp;"&lt;/span&gt;&lt;/p&gt;"</f>
        <v>&lt;p class="stat-row-2"&gt;&lt;span class="stat-label-2"&gt;Goals&lt;/span&gt;&lt;span class="stat-value-2"&gt;&lt;/span&gt;&lt;/p&gt;</v>
      </c>
      <c r="D136" s="3" t="str">
        <f>"&lt;p class=""stat-row-2""&gt;&lt;span class=""stat-label-2""&gt;Goals&lt;/span&gt;&lt;span class=""stat-value-2""&gt;"&amp;$C$24&amp;"&lt;/span&gt;&lt;/p&gt;"</f>
        <v>&lt;p class="stat-row-2"&gt;&lt;span class="stat-label-2"&gt;Goals&lt;/span&gt;&lt;span class="stat-value-2"&gt;&lt;/span&gt;&lt;/p&gt;</v>
      </c>
      <c r="E136" s="3" t="str">
        <f>"&lt;p class=""stat-row-2""&gt;&lt;span class=""stat-label-2""&gt;Goals&lt;/span&gt;&lt;span class=""stat-value-2""&gt;"&amp;$C$12&amp;"&lt;/span&gt;&lt;/p&gt;"</f>
        <v>&lt;p class="stat-row-2"&gt;&lt;span class="stat-label-2"&gt;Goals&lt;/span&gt;&lt;span class="stat-value-2"&gt;&lt;/span&gt;&lt;/p&gt;</v>
      </c>
      <c r="F136" s="3" t="str">
        <f>"&lt;p class=""stat-row-2""&gt;&lt;span class=""stat-label-2""&gt;Goals&lt;/span&gt;&lt;span class=""stat-value-2""&gt;"&amp;$C$22&amp;"&lt;/span&gt;&lt;/p&gt;"</f>
        <v>&lt;p class="stat-row-2"&gt;&lt;span class="stat-label-2"&gt;Goals&lt;/span&gt;&lt;span class="stat-value-2"&gt;&lt;/span&gt;&lt;/p&gt;</v>
      </c>
      <c r="G136" s="3" t="str">
        <f>"&lt;p class=""stat-row-2""&gt;&lt;span class=""stat-label-2""&gt;Goals&lt;/span&gt;&lt;span class=""stat-value-2""&gt;"&amp;$C$3&amp;"&lt;/span&gt;&lt;/p&gt;"</f>
        <v>&lt;p class="stat-row-2"&gt;&lt;span class="stat-label-2"&gt;Goals&lt;/span&gt;&lt;span class="stat-value-2"&gt;&lt;/span&gt;&lt;/p&gt;</v>
      </c>
      <c r="H136" s="3" t="str">
        <f>"&lt;p class=""stat-row-2""&gt;&lt;span class=""stat-label-2""&gt;Goals&lt;/span&gt;&lt;span class=""stat-value-2""&gt;"&amp;$C$7&amp;"&lt;/span&gt;&lt;/p&gt;"</f>
        <v>&lt;p class="stat-row-2"&gt;&lt;span class="stat-label-2"&gt;Goals&lt;/span&gt;&lt;span class="stat-value-2"&gt;&lt;/span&gt;&lt;/p&gt;</v>
      </c>
      <c r="I136" s="3" t="str">
        <f>"&lt;p class=""stat-row-2""&gt;&lt;span class=""stat-label-2""&gt;Goals&lt;/span&gt;&lt;span class=""stat-value-2""&gt;"&amp;$C$8&amp;"&lt;/span&gt;&lt;/p&gt;"</f>
        <v>&lt;p class="stat-row-2"&gt;&lt;span class="stat-label-2"&gt;Goals&lt;/span&gt;&lt;span class="stat-value-2"&gt;&lt;/span&gt;&lt;/p&gt;</v>
      </c>
      <c r="J136" s="3" t="str">
        <f>"&lt;p class=""stat-row-2""&gt;&lt;span class=""stat-label-2""&gt;Goals&lt;/span&gt;&lt;span class=""stat-value-2""&gt;"&amp;$C$23&amp;"&lt;/span&gt;&lt;/p&gt;"</f>
        <v>&lt;p class="stat-row-2"&gt;&lt;span class="stat-label-2"&gt;Goals&lt;/span&gt;&lt;span class="stat-value-2"&gt;&lt;/span&gt;&lt;/p&gt;</v>
      </c>
      <c r="K136" s="3" t="str">
        <f>"&lt;p class=""stat-row-2""&gt;&lt;span class=""stat-label-2""&gt;Goals&lt;/span&gt;&lt;span class=""stat-value-2""&gt;"&amp;$C$20&amp;"&lt;/span&gt;&lt;/p&gt;"</f>
        <v>&lt;p class="stat-row-2"&gt;&lt;span class="stat-label-2"&gt;Goals&lt;/span&gt;&lt;span class="stat-value-2"&gt;&lt;/span&gt;&lt;/p&gt;</v>
      </c>
      <c r="L136" s="3" t="str">
        <f>"&lt;p class=""stat-row-2""&gt;&lt;span class=""stat-label-2""&gt;Goals&lt;/span&gt;&lt;span class=""stat-value-2""&gt;"&amp;$C$14&amp;"&lt;/span&gt;&lt;/p&gt;"</f>
        <v>&lt;p class="stat-row-2"&gt;&lt;span class="stat-label-2"&gt;Goals&lt;/span&gt;&lt;span class="stat-value-2"&gt;&lt;/span&gt;&lt;/p&gt;</v>
      </c>
      <c r="M136" s="3" t="str">
        <f>"&lt;p class=""stat-row-2""&gt;&lt;span class=""stat-label-2""&gt;Goals&lt;/span&gt;&lt;span class=""stat-value-2""&gt;"&amp;$C$21&amp;"&lt;/span&gt;&lt;/p&gt;"</f>
        <v>&lt;p class="stat-row-2"&gt;&lt;span class="stat-label-2"&gt;Goals&lt;/span&gt;&lt;span class="stat-value-2"&gt;&lt;/span&gt;&lt;/p&gt;</v>
      </c>
      <c r="N136" s="3" t="str">
        <f>"&lt;p class=""stat-row-2""&gt;&lt;span class=""stat-label-2""&gt;Goals&lt;/span&gt;&lt;span class=""stat-value-2""&gt;"&amp;$C$11&amp;"&lt;/span&gt;&lt;/p&gt;"</f>
        <v>&lt;p class="stat-row-2"&gt;&lt;span class="stat-label-2"&gt;Goals&lt;/span&gt;&lt;span class="stat-value-2"&gt;&lt;/span&gt;&lt;/p&gt;</v>
      </c>
      <c r="O136" s="3" t="str">
        <f>"&lt;p class=""stat-row-2""&gt;&lt;span class=""stat-label-2""&gt;Goals&lt;/span&gt;&lt;span class=""stat-value-2""&gt;"&amp;$C$13&amp;"&lt;/span&gt;&lt;/p&gt;"</f>
        <v>&lt;p class="stat-row-2"&gt;&lt;span class="stat-label-2"&gt;Goals&lt;/span&gt;&lt;span class="stat-value-2"&gt;&lt;/span&gt;&lt;/p&gt;</v>
      </c>
      <c r="P136" s="3" t="str">
        <f>"&lt;p class=""stat-row-2""&gt;&lt;span class=""stat-label-2""&gt;Goals&lt;/span&gt;&lt;span class=""stat-value-2""&gt;"&amp;$C$5&amp;"&lt;/span&gt;&lt;/p&gt;"</f>
        <v>&lt;p class="stat-row-2"&gt;&lt;span class="stat-label-2"&gt;Goals&lt;/span&gt;&lt;span class="stat-value-2"&gt;&lt;/span&gt;&lt;/p&gt;</v>
      </c>
      <c r="Q136" s="3" t="str">
        <f>"&lt;p class=""stat-row-2""&gt;&lt;span class=""stat-label-2""&gt;Goals&lt;/span&gt;&lt;span class=""stat-value-2""&gt;"&amp;$C$10&amp;"&lt;/span&gt;&lt;/p&gt;"</f>
        <v>&lt;p class="stat-row-2"&gt;&lt;span class="stat-label-2"&gt;Goals&lt;/span&gt;&lt;span class="stat-value-2"&gt;&lt;/span&gt;&lt;/p&gt;</v>
      </c>
      <c r="R136" s="3" t="str">
        <f>"&lt;p class=""stat-row-2""&gt;&lt;span class=""stat-label-2""&gt;Goals&lt;/span&gt;&lt;span class=""stat-value-2""&gt;"&amp;$C$2&amp;"&lt;/span&gt;&lt;/p&gt;"</f>
        <v>&lt;p class="stat-row-2"&gt;&lt;span class="stat-label-2"&gt;Goals&lt;/span&gt;&lt;span class="stat-value-2"&gt;&lt;/span&gt;&lt;/p&gt;</v>
      </c>
      <c r="S136" s="3" t="str">
        <f>"&lt;p class=""stat-row-2""&gt;&lt;span class=""stat-label-2""&gt;Goals&lt;/span&gt;&lt;span class=""stat-value-2""&gt;"&amp;$C$19&amp;"&lt;/span&gt;&lt;/p&gt;"</f>
        <v>&lt;p class="stat-row-2"&gt;&lt;span class="stat-label-2"&gt;Goals&lt;/span&gt;&lt;span class="stat-value-2"&gt;&lt;/span&gt;&lt;/p&gt;</v>
      </c>
      <c r="T136" s="3" t="str">
        <f>"&lt;p class=""stat-row-2""&gt;&lt;span class=""stat-label-2""&gt;Goals&lt;/span&gt;&lt;span class=""stat-value-2""&gt;"&amp;$C$17&amp;"&lt;/span&gt;&lt;/p&gt;"</f>
        <v>&lt;p class="stat-row-2"&gt;&lt;span class="stat-label-2"&gt;Goals&lt;/span&gt;&lt;span class="stat-value-2"&gt;&lt;/span&gt;&lt;/p&gt;</v>
      </c>
      <c r="U136" s="3" t="str">
        <f>"&lt;p class=""stat-row-2""&gt;&lt;span class=""stat-label-2""&gt;Goals&lt;/span&gt;&lt;span class=""stat-value-2""&gt;"&amp;$C$18&amp;"&lt;/span&gt;&lt;/p&gt;"</f>
        <v>&lt;p class="stat-row-2"&gt;&lt;span class="stat-label-2"&gt;Goals&lt;/span&gt;&lt;span class="stat-value-2"&gt;&lt;/span&gt;&lt;/p&gt;</v>
      </c>
      <c r="V136" s="3" t="str">
        <f>"&lt;p class=""stat-row-2""&gt;&lt;span class=""stat-label-2""&gt;Goals&lt;/span&gt;&lt;span class=""stat-value-2""&gt;"&amp;$C$16&amp;"&lt;/span&gt;&lt;/p&gt;"</f>
        <v>&lt;p class="stat-row-2"&gt;&lt;span class="stat-label-2"&gt;Goals&lt;/span&gt;&lt;span class="stat-value-2"&gt;&lt;/span&gt;&lt;/p&gt;</v>
      </c>
      <c r="W136" s="3" t="str">
        <f>"&lt;p class=""stat-row-2""&gt;&lt;span class=""stat-label-2""&gt;Goals&lt;/span&gt;&lt;span class=""stat-value-2""&gt;"&amp;$C$6&amp;"&lt;/span&gt;&lt;/p&gt;"</f>
        <v>&lt;p class="stat-row-2"&gt;&lt;span class="stat-label-2"&gt;Goals&lt;/span&gt;&lt;span class="stat-value-2"&gt;&lt;/span&gt;&lt;/p&gt;</v>
      </c>
    </row>
    <row r="137" spans="1:23" x14ac:dyDescent="0.3">
      <c r="A137" s="3" t="str">
        <f>"&lt;p class=""stat-row-2""&gt;&lt;span class=""stat-label-2""&gt;Assists&lt;/span&gt;&lt;span class=""stat-value-2""&gt;"&amp;$D$4&amp;"&lt;/span&gt;&lt;/p&gt;"</f>
        <v>&lt;p class="stat-row-2"&gt;&lt;span class="stat-label-2"&gt;Assists&lt;/span&gt;&lt;span class="stat-value-2"&gt;&lt;/span&gt;&lt;/p&gt;</v>
      </c>
      <c r="B137" s="3" t="str">
        <f>"&lt;p class=""stat-row-2""&gt;&lt;span class=""stat-label-2""&gt;Assists&lt;/span&gt;&lt;span class=""stat-value-2""&gt;"&amp;$D$15&amp;"&lt;/span&gt;&lt;/p&gt;"</f>
        <v>&lt;p class="stat-row-2"&gt;&lt;span class="stat-label-2"&gt;Assists&lt;/span&gt;&lt;span class="stat-value-2"&gt;&lt;/span&gt;&lt;/p&gt;</v>
      </c>
      <c r="C137" s="3" t="str">
        <f>"&lt;p class=""stat-row-2""&gt;&lt;span class=""stat-label-2""&gt;Assists&lt;/span&gt;&lt;span class=""stat-value-2""&gt;"&amp;$D$9&amp;"&lt;/span&gt;&lt;/p&gt;"</f>
        <v>&lt;p class="stat-row-2"&gt;&lt;span class="stat-label-2"&gt;Assists&lt;/span&gt;&lt;span class="stat-value-2"&gt;&lt;/span&gt;&lt;/p&gt;</v>
      </c>
      <c r="D137" s="3" t="str">
        <f>"&lt;p class=""stat-row-2""&gt;&lt;span class=""stat-label-2""&gt;Assists&lt;/span&gt;&lt;span class=""stat-value-2""&gt;"&amp;$D$24&amp;"&lt;/span&gt;&lt;/p&gt;"</f>
        <v>&lt;p class="stat-row-2"&gt;&lt;span class="stat-label-2"&gt;Assists&lt;/span&gt;&lt;span class="stat-value-2"&gt;&lt;/span&gt;&lt;/p&gt;</v>
      </c>
      <c r="E137" s="3" t="str">
        <f>"&lt;p class=""stat-row-2""&gt;&lt;span class=""stat-label-2""&gt;Assists&lt;/span&gt;&lt;span class=""stat-value-2""&gt;"&amp;$D$12&amp;"&lt;/span&gt;&lt;/p&gt;"</f>
        <v>&lt;p class="stat-row-2"&gt;&lt;span class="stat-label-2"&gt;Assists&lt;/span&gt;&lt;span class="stat-value-2"&gt;&lt;/span&gt;&lt;/p&gt;</v>
      </c>
      <c r="F137" s="3" t="str">
        <f>"&lt;p class=""stat-row-2""&gt;&lt;span class=""stat-label-2""&gt;Assists&lt;/span&gt;&lt;span class=""stat-value-2""&gt;"&amp;$D$22&amp;"&lt;/span&gt;&lt;/p&gt;"</f>
        <v>&lt;p class="stat-row-2"&gt;&lt;span class="stat-label-2"&gt;Assists&lt;/span&gt;&lt;span class="stat-value-2"&gt;&lt;/span&gt;&lt;/p&gt;</v>
      </c>
      <c r="G137" s="3" t="str">
        <f>"&lt;p class=""stat-row-2""&gt;&lt;span class=""stat-label-2""&gt;Assists&lt;/span&gt;&lt;span class=""stat-value-2""&gt;"&amp;$D$3&amp;"&lt;/span&gt;&lt;/p&gt;"</f>
        <v>&lt;p class="stat-row-2"&gt;&lt;span class="stat-label-2"&gt;Assists&lt;/span&gt;&lt;span class="stat-value-2"&gt;&lt;/span&gt;&lt;/p&gt;</v>
      </c>
      <c r="H137" s="3" t="str">
        <f>"&lt;p class=""stat-row-2""&gt;&lt;span class=""stat-label-2""&gt;Assists&lt;/span&gt;&lt;span class=""stat-value-2""&gt;"&amp;$D$7&amp;"&lt;/span&gt;&lt;/p&gt;"</f>
        <v>&lt;p class="stat-row-2"&gt;&lt;span class="stat-label-2"&gt;Assists&lt;/span&gt;&lt;span class="stat-value-2"&gt;&lt;/span&gt;&lt;/p&gt;</v>
      </c>
      <c r="I137" s="3" t="str">
        <f>"&lt;p class=""stat-row-2""&gt;&lt;span class=""stat-label-2""&gt;Assists&lt;/span&gt;&lt;span class=""stat-value-2""&gt;"&amp;$D$8&amp;"&lt;/span&gt;&lt;/p&gt;"</f>
        <v>&lt;p class="stat-row-2"&gt;&lt;span class="stat-label-2"&gt;Assists&lt;/span&gt;&lt;span class="stat-value-2"&gt;&lt;/span&gt;&lt;/p&gt;</v>
      </c>
      <c r="J137" s="3" t="str">
        <f>"&lt;p class=""stat-row-2""&gt;&lt;span class=""stat-label-2""&gt;Assists&lt;/span&gt;&lt;span class=""stat-value-2""&gt;"&amp;$D$23&amp;"&lt;/span&gt;&lt;/p&gt;"</f>
        <v>&lt;p class="stat-row-2"&gt;&lt;span class="stat-label-2"&gt;Assists&lt;/span&gt;&lt;span class="stat-value-2"&gt;&lt;/span&gt;&lt;/p&gt;</v>
      </c>
      <c r="K137" s="3" t="str">
        <f>"&lt;p class=""stat-row-2""&gt;&lt;span class=""stat-label-2""&gt;Assists&lt;/span&gt;&lt;span class=""stat-value-2""&gt;"&amp;$D$20&amp;"&lt;/span&gt;&lt;/p&gt;"</f>
        <v>&lt;p class="stat-row-2"&gt;&lt;span class="stat-label-2"&gt;Assists&lt;/span&gt;&lt;span class="stat-value-2"&gt;&lt;/span&gt;&lt;/p&gt;</v>
      </c>
      <c r="L137" s="3" t="str">
        <f>"&lt;p class=""stat-row-2""&gt;&lt;span class=""stat-label-2""&gt;Assists&lt;/span&gt;&lt;span class=""stat-value-2""&gt;"&amp;$D$14&amp;"&lt;/span&gt;&lt;/p&gt;"</f>
        <v>&lt;p class="stat-row-2"&gt;&lt;span class="stat-label-2"&gt;Assists&lt;/span&gt;&lt;span class="stat-value-2"&gt;&lt;/span&gt;&lt;/p&gt;</v>
      </c>
      <c r="M137" s="3" t="str">
        <f>"&lt;p class=""stat-row-2""&gt;&lt;span class=""stat-label-2""&gt;Assists&lt;/span&gt;&lt;span class=""stat-value-2""&gt;"&amp;$D$21&amp;"&lt;/span&gt;&lt;/p&gt;"</f>
        <v>&lt;p class="stat-row-2"&gt;&lt;span class="stat-label-2"&gt;Assists&lt;/span&gt;&lt;span class="stat-value-2"&gt;&lt;/span&gt;&lt;/p&gt;</v>
      </c>
      <c r="N137" s="3" t="str">
        <f>"&lt;p class=""stat-row-2""&gt;&lt;span class=""stat-label-2""&gt;Assists&lt;/span&gt;&lt;span class=""stat-value-2""&gt;"&amp;$D$11&amp;"&lt;/span&gt;&lt;/p&gt;"</f>
        <v>&lt;p class="stat-row-2"&gt;&lt;span class="stat-label-2"&gt;Assists&lt;/span&gt;&lt;span class="stat-value-2"&gt;&lt;/span&gt;&lt;/p&gt;</v>
      </c>
      <c r="O137" s="3" t="str">
        <f>"&lt;p class=""stat-row-2""&gt;&lt;span class=""stat-label-2""&gt;Assists&lt;/span&gt;&lt;span class=""stat-value-2""&gt;"&amp;$D$13&amp;"&lt;/span&gt;&lt;/p&gt;"</f>
        <v>&lt;p class="stat-row-2"&gt;&lt;span class="stat-label-2"&gt;Assists&lt;/span&gt;&lt;span class="stat-value-2"&gt;&lt;/span&gt;&lt;/p&gt;</v>
      </c>
      <c r="P137" s="3" t="str">
        <f>"&lt;p class=""stat-row-2""&gt;&lt;span class=""stat-label-2""&gt;Assists&lt;/span&gt;&lt;span class=""stat-value-2""&gt;"&amp;$D$5&amp;"&lt;/span&gt;&lt;/p&gt;"</f>
        <v>&lt;p class="stat-row-2"&gt;&lt;span class="stat-label-2"&gt;Assists&lt;/span&gt;&lt;span class="stat-value-2"&gt;&lt;/span&gt;&lt;/p&gt;</v>
      </c>
      <c r="Q137" s="3" t="str">
        <f>"&lt;p class=""stat-row-2""&gt;&lt;span class=""stat-label-2""&gt;Assists&lt;/span&gt;&lt;span class=""stat-value-2""&gt;"&amp;$D$10&amp;"&lt;/span&gt;&lt;/p&gt;"</f>
        <v>&lt;p class="stat-row-2"&gt;&lt;span class="stat-label-2"&gt;Assists&lt;/span&gt;&lt;span class="stat-value-2"&gt;&lt;/span&gt;&lt;/p&gt;</v>
      </c>
      <c r="R137" s="3" t="str">
        <f>"&lt;p class=""stat-row-2""&gt;&lt;span class=""stat-label-2""&gt;Assists&lt;/span&gt;&lt;span class=""stat-value-2""&gt;"&amp;$D$2&amp;"&lt;/span&gt;&lt;/p&gt;"</f>
        <v>&lt;p class="stat-row-2"&gt;&lt;span class="stat-label-2"&gt;Assists&lt;/span&gt;&lt;span class="stat-value-2"&gt;&lt;/span&gt;&lt;/p&gt;</v>
      </c>
      <c r="S137" s="3" t="str">
        <f>"&lt;p class=""stat-row-2""&gt;&lt;span class=""stat-label-2""&gt;Assists&lt;/span&gt;&lt;span class=""stat-value-2""&gt;"&amp;$D$19&amp;"&lt;/span&gt;&lt;/p&gt;"</f>
        <v>&lt;p class="stat-row-2"&gt;&lt;span class="stat-label-2"&gt;Assists&lt;/span&gt;&lt;span class="stat-value-2"&gt;&lt;/span&gt;&lt;/p&gt;</v>
      </c>
      <c r="T137" s="3" t="str">
        <f>"&lt;p class=""stat-row-2""&gt;&lt;span class=""stat-label-2""&gt;Assists&lt;/span&gt;&lt;span class=""stat-value-2""&gt;"&amp;$D$17&amp;"&lt;/span&gt;&lt;/p&gt;"</f>
        <v>&lt;p class="stat-row-2"&gt;&lt;span class="stat-label-2"&gt;Assists&lt;/span&gt;&lt;span class="stat-value-2"&gt;&lt;/span&gt;&lt;/p&gt;</v>
      </c>
      <c r="U137" s="3" t="str">
        <f>"&lt;p class=""stat-row-2""&gt;&lt;span class=""stat-label-2""&gt;Assists&lt;/span&gt;&lt;span class=""stat-value-2""&gt;"&amp;$D$18&amp;"&lt;/span&gt;&lt;/p&gt;"</f>
        <v>&lt;p class="stat-row-2"&gt;&lt;span class="stat-label-2"&gt;Assists&lt;/span&gt;&lt;span class="stat-value-2"&gt;&lt;/span&gt;&lt;/p&gt;</v>
      </c>
      <c r="V137" s="3" t="str">
        <f>"&lt;p class=""stat-row-2""&gt;&lt;span class=""stat-label-2""&gt;Assists&lt;/span&gt;&lt;span class=""stat-value-2""&gt;"&amp;$D$16&amp;"&lt;/span&gt;&lt;/p&gt;"</f>
        <v>&lt;p class="stat-row-2"&gt;&lt;span class="stat-label-2"&gt;Assists&lt;/span&gt;&lt;span class="stat-value-2"&gt;&lt;/span&gt;&lt;/p&gt;</v>
      </c>
      <c r="W137" s="3" t="str">
        <f>"&lt;p class=""stat-row-2""&gt;&lt;span class=""stat-label-2""&gt;Assists&lt;/span&gt;&lt;span class=""stat-value-2""&gt;"&amp;$D$6&amp;"&lt;/span&gt;&lt;/p&gt;"</f>
        <v>&lt;p class="stat-row-2"&gt;&lt;span class="stat-label-2"&gt;Assists&lt;/span&gt;&lt;span class="stat-value-2"&gt;&lt;/span&gt;&lt;/p&gt;</v>
      </c>
    </row>
    <row r="138" spans="1:23" x14ac:dyDescent="0.3">
      <c r="A138" s="3" t="str">
        <f>"&lt;p class=""stat-row-2""&gt;&lt;span class=""stat-label-2""&gt;Key Passes&lt;/span&gt;&lt;span class=""stat-value-2""&gt;"&amp;$E$4&amp;"&lt;/span&gt;&lt;/p&gt;"</f>
        <v>&lt;p class="stat-row-2"&gt;&lt;span class="stat-label-2"&gt;Key Passes&lt;/span&gt;&lt;span class="stat-value-2"&gt;&lt;/span&gt;&lt;/p&gt;</v>
      </c>
      <c r="B138" s="3" t="str">
        <f>"&lt;p class=""stat-row-2""&gt;&lt;span class=""stat-label-2""&gt;Key Passes&lt;/span&gt;&lt;span class=""stat-value-2""&gt;"&amp;$E$15&amp;"&lt;/span&gt;&lt;/p&gt;"</f>
        <v>&lt;p class="stat-row-2"&gt;&lt;span class="stat-label-2"&gt;Key Passes&lt;/span&gt;&lt;span class="stat-value-2"&gt;&lt;/span&gt;&lt;/p&gt;</v>
      </c>
      <c r="C138" s="3" t="str">
        <f>"&lt;p class=""stat-row-2""&gt;&lt;span class=""stat-label-2""&gt;Key Passes&lt;/span&gt;&lt;span class=""stat-value-2""&gt;"&amp;$E$9&amp;"&lt;/span&gt;&lt;/p&gt;"</f>
        <v>&lt;p class="stat-row-2"&gt;&lt;span class="stat-label-2"&gt;Key Passes&lt;/span&gt;&lt;span class="stat-value-2"&gt;&lt;/span&gt;&lt;/p&gt;</v>
      </c>
      <c r="D138" s="3" t="str">
        <f>"&lt;p class=""stat-row-2""&gt;&lt;span class=""stat-label-2""&gt;Key Passes&lt;/span&gt;&lt;span class=""stat-value-2""&gt;"&amp;$E$24&amp;"&lt;/span&gt;&lt;/p&gt;"</f>
        <v>&lt;p class="stat-row-2"&gt;&lt;span class="stat-label-2"&gt;Key Passes&lt;/span&gt;&lt;span class="stat-value-2"&gt;&lt;/span&gt;&lt;/p&gt;</v>
      </c>
      <c r="E138" s="3" t="str">
        <f>"&lt;p class=""stat-row-2""&gt;&lt;span class=""stat-label-2""&gt;Key Passes&lt;/span&gt;&lt;span class=""stat-value-2""&gt;"&amp;$E$12&amp;"&lt;/span&gt;&lt;/p&gt;"</f>
        <v>&lt;p class="stat-row-2"&gt;&lt;span class="stat-label-2"&gt;Key Passes&lt;/span&gt;&lt;span class="stat-value-2"&gt;&lt;/span&gt;&lt;/p&gt;</v>
      </c>
      <c r="F138" s="3" t="str">
        <f>"&lt;p class=""stat-row-2""&gt;&lt;span class=""stat-label-2""&gt;Key Passes&lt;/span&gt;&lt;span class=""stat-value-2""&gt;"&amp;$E$22&amp;"&lt;/span&gt;&lt;/p&gt;"</f>
        <v>&lt;p class="stat-row-2"&gt;&lt;span class="stat-label-2"&gt;Key Passes&lt;/span&gt;&lt;span class="stat-value-2"&gt;&lt;/span&gt;&lt;/p&gt;</v>
      </c>
      <c r="G138" s="3" t="str">
        <f>"&lt;p class=""stat-row-2""&gt;&lt;span class=""stat-label-2""&gt;Key Passes&lt;/span&gt;&lt;span class=""stat-value-2""&gt;"&amp;$E$3&amp;"&lt;/span&gt;&lt;/p&gt;"</f>
        <v>&lt;p class="stat-row-2"&gt;&lt;span class="stat-label-2"&gt;Key Passes&lt;/span&gt;&lt;span class="stat-value-2"&gt;&lt;/span&gt;&lt;/p&gt;</v>
      </c>
      <c r="H138" s="3" t="str">
        <f>"&lt;p class=""stat-row-2""&gt;&lt;span class=""stat-label-2""&gt;Key Passes&lt;/span&gt;&lt;span class=""stat-value-2""&gt;"&amp;$E$7&amp;"&lt;/span&gt;&lt;/p&gt;"</f>
        <v>&lt;p class="stat-row-2"&gt;&lt;span class="stat-label-2"&gt;Key Passes&lt;/span&gt;&lt;span class="stat-value-2"&gt;&lt;/span&gt;&lt;/p&gt;</v>
      </c>
      <c r="I138" s="3" t="str">
        <f>"&lt;p class=""stat-row-2""&gt;&lt;span class=""stat-label-2""&gt;Key Passes&lt;/span&gt;&lt;span class=""stat-value-2""&gt;"&amp;$E$8&amp;"&lt;/span&gt;&lt;/p&gt;"</f>
        <v>&lt;p class="stat-row-2"&gt;&lt;span class="stat-label-2"&gt;Key Passes&lt;/span&gt;&lt;span class="stat-value-2"&gt;&lt;/span&gt;&lt;/p&gt;</v>
      </c>
      <c r="J138" s="3" t="str">
        <f>"&lt;p class=""stat-row-2""&gt;&lt;span class=""stat-label-2""&gt;Key Passes&lt;/span&gt;&lt;span class=""stat-value-2""&gt;"&amp;$E$23&amp;"&lt;/span&gt;&lt;/p&gt;"</f>
        <v>&lt;p class="stat-row-2"&gt;&lt;span class="stat-label-2"&gt;Key Passes&lt;/span&gt;&lt;span class="stat-value-2"&gt;&lt;/span&gt;&lt;/p&gt;</v>
      </c>
      <c r="K138" s="3" t="str">
        <f>"&lt;p class=""stat-row-2""&gt;&lt;span class=""stat-label-2""&gt;Key Passes&lt;/span&gt;&lt;span class=""stat-value-2""&gt;"&amp;$E$20&amp;"&lt;/span&gt;&lt;/p&gt;"</f>
        <v>&lt;p class="stat-row-2"&gt;&lt;span class="stat-label-2"&gt;Key Passes&lt;/span&gt;&lt;span class="stat-value-2"&gt;&lt;/span&gt;&lt;/p&gt;</v>
      </c>
      <c r="L138" s="3" t="str">
        <f>"&lt;p class=""stat-row-2""&gt;&lt;span class=""stat-label-2""&gt;Key Passes&lt;/span&gt;&lt;span class=""stat-value-2""&gt;"&amp;$E$14&amp;"&lt;/span&gt;&lt;/p&gt;"</f>
        <v>&lt;p class="stat-row-2"&gt;&lt;span class="stat-label-2"&gt;Key Passes&lt;/span&gt;&lt;span class="stat-value-2"&gt;&lt;/span&gt;&lt;/p&gt;</v>
      </c>
      <c r="M138" s="3" t="str">
        <f>"&lt;p class=""stat-row-2""&gt;&lt;span class=""stat-label-2""&gt;Key Passes&lt;/span&gt;&lt;span class=""stat-value-2""&gt;"&amp;$E$21&amp;"&lt;/span&gt;&lt;/p&gt;"</f>
        <v>&lt;p class="stat-row-2"&gt;&lt;span class="stat-label-2"&gt;Key Passes&lt;/span&gt;&lt;span class="stat-value-2"&gt;&lt;/span&gt;&lt;/p&gt;</v>
      </c>
      <c r="N138" s="3" t="str">
        <f>"&lt;p class=""stat-row-2""&gt;&lt;span class=""stat-label-2""&gt;Key Passes&lt;/span&gt;&lt;span class=""stat-value-2""&gt;"&amp;$E$11&amp;"&lt;/span&gt;&lt;/p&gt;"</f>
        <v>&lt;p class="stat-row-2"&gt;&lt;span class="stat-label-2"&gt;Key Passes&lt;/span&gt;&lt;span class="stat-value-2"&gt;&lt;/span&gt;&lt;/p&gt;</v>
      </c>
      <c r="O138" s="3" t="str">
        <f>"&lt;p class=""stat-row-2""&gt;&lt;span class=""stat-label-2""&gt;Key Passes&lt;/span&gt;&lt;span class=""stat-value-2""&gt;"&amp;$E$13&amp;"&lt;/span&gt;&lt;/p&gt;"</f>
        <v>&lt;p class="stat-row-2"&gt;&lt;span class="stat-label-2"&gt;Key Passes&lt;/span&gt;&lt;span class="stat-value-2"&gt;&lt;/span&gt;&lt;/p&gt;</v>
      </c>
      <c r="P138" s="3" t="str">
        <f>"&lt;p class=""stat-row-2""&gt;&lt;span class=""stat-label-2""&gt;Key Passes&lt;/span&gt;&lt;span class=""stat-value-2""&gt;"&amp;$E$5&amp;"&lt;/span&gt;&lt;/p&gt;"</f>
        <v>&lt;p class="stat-row-2"&gt;&lt;span class="stat-label-2"&gt;Key Passes&lt;/span&gt;&lt;span class="stat-value-2"&gt;&lt;/span&gt;&lt;/p&gt;</v>
      </c>
      <c r="Q138" s="3" t="str">
        <f>"&lt;p class=""stat-row-2""&gt;&lt;span class=""stat-label-2""&gt;Key Passes&lt;/span&gt;&lt;span class=""stat-value-2""&gt;"&amp;$E$10&amp;"&lt;/span&gt;&lt;/p&gt;"</f>
        <v>&lt;p class="stat-row-2"&gt;&lt;span class="stat-label-2"&gt;Key Passes&lt;/span&gt;&lt;span class="stat-value-2"&gt;&lt;/span&gt;&lt;/p&gt;</v>
      </c>
      <c r="R138" s="3" t="str">
        <f>"&lt;p class=""stat-row-2""&gt;&lt;span class=""stat-label-2""&gt;Key Passes&lt;/span&gt;&lt;span class=""stat-value-2""&gt;"&amp;$E$2&amp;"&lt;/span&gt;&lt;/p&gt;"</f>
        <v>&lt;p class="stat-row-2"&gt;&lt;span class="stat-label-2"&gt;Key Passes&lt;/span&gt;&lt;span class="stat-value-2"&gt;&lt;/span&gt;&lt;/p&gt;</v>
      </c>
      <c r="S138" s="3" t="str">
        <f>"&lt;p class=""stat-row-2""&gt;&lt;span class=""stat-label-2""&gt;Key Passes&lt;/span&gt;&lt;span class=""stat-value-2""&gt;"&amp;$E$19&amp;"&lt;/span&gt;&lt;/p&gt;"</f>
        <v>&lt;p class="stat-row-2"&gt;&lt;span class="stat-label-2"&gt;Key Passes&lt;/span&gt;&lt;span class="stat-value-2"&gt;&lt;/span&gt;&lt;/p&gt;</v>
      </c>
      <c r="T138" s="3" t="str">
        <f>"&lt;p class=""stat-row-2""&gt;&lt;span class=""stat-label-2""&gt;Key Passes&lt;/span&gt;&lt;span class=""stat-value-2""&gt;"&amp;$E$17&amp;"&lt;/span&gt;&lt;/p&gt;"</f>
        <v>&lt;p class="stat-row-2"&gt;&lt;span class="stat-label-2"&gt;Key Passes&lt;/span&gt;&lt;span class="stat-value-2"&gt;&lt;/span&gt;&lt;/p&gt;</v>
      </c>
      <c r="U138" s="3" t="str">
        <f>"&lt;p class=""stat-row-2""&gt;&lt;span class=""stat-label-2""&gt;Key Passes&lt;/span&gt;&lt;span class=""stat-value-2""&gt;"&amp;$E$18&amp;"&lt;/span&gt;&lt;/p&gt;"</f>
        <v>&lt;p class="stat-row-2"&gt;&lt;span class="stat-label-2"&gt;Key Passes&lt;/span&gt;&lt;span class="stat-value-2"&gt;&lt;/span&gt;&lt;/p&gt;</v>
      </c>
      <c r="V138" s="3" t="str">
        <f>"&lt;p class=""stat-row-2""&gt;&lt;span class=""stat-label-2""&gt;Key Passes&lt;/span&gt;&lt;span class=""stat-value-2""&gt;"&amp;$E$16&amp;"&lt;/span&gt;&lt;/p&gt;"</f>
        <v>&lt;p class="stat-row-2"&gt;&lt;span class="stat-label-2"&gt;Key Passes&lt;/span&gt;&lt;span class="stat-value-2"&gt;&lt;/span&gt;&lt;/p&gt;</v>
      </c>
      <c r="W138" s="3" t="str">
        <f>"&lt;p class=""stat-row-2""&gt;&lt;span class=""stat-label-2""&gt;Key Passes&lt;/span&gt;&lt;span class=""stat-value-2""&gt;"&amp;$E$6&amp;"&lt;/span&gt;&lt;/p&gt;"</f>
        <v>&lt;p class="stat-row-2"&gt;&lt;span class="stat-label-2"&gt;Key Passes&lt;/span&gt;&lt;span class="stat-value-2"&gt;&lt;/span&gt;&lt;/p&gt;</v>
      </c>
    </row>
    <row r="139" spans="1:23" x14ac:dyDescent="0.3">
      <c r="A139" s="3" t="str">
        <f>"&lt;p class=""stat-row-2""&gt;&lt;span class=""stat-label-2""&gt;Start CA&lt;/span&gt;&lt;span class=""stat-value-2""&gt;"&amp;$F$4&amp;"&lt;/span&gt;&lt;/p&gt;"</f>
        <v>&lt;p class="stat-row-2"&gt;&lt;span class="stat-label-2"&gt;Start CA&lt;/span&gt;&lt;span class="stat-value-2"&gt;&lt;/span&gt;&lt;/p&gt;</v>
      </c>
      <c r="B139" s="3" t="str">
        <f>"&lt;p class=""stat-row-2""&gt;&lt;span class=""stat-label-2""&gt;Start CA&lt;/span&gt;&lt;span class=""stat-value-2""&gt;"&amp;$F$15&amp;"&lt;/span&gt;&lt;/p&gt;"</f>
        <v>&lt;p class="stat-row-2"&gt;&lt;span class="stat-label-2"&gt;Start CA&lt;/span&gt;&lt;span class="stat-value-2"&gt;&lt;/span&gt;&lt;/p&gt;</v>
      </c>
      <c r="C139" s="3" t="str">
        <f>"&lt;p class=""stat-row-2""&gt;&lt;span class=""stat-label-2""&gt;Start CA&lt;/span&gt;&lt;span class=""stat-value-2""&gt;"&amp;$F$9&amp;"&lt;/span&gt;&lt;/p&gt;"</f>
        <v>&lt;p class="stat-row-2"&gt;&lt;span class="stat-label-2"&gt;Start CA&lt;/span&gt;&lt;span class="stat-value-2"&gt;&lt;/span&gt;&lt;/p&gt;</v>
      </c>
      <c r="D139" s="3" t="str">
        <f>"&lt;p class=""stat-row-2""&gt;&lt;span class=""stat-label-2""&gt;Start CA&lt;/span&gt;&lt;span class=""stat-value-2""&gt;"&amp;$F$24&amp;"&lt;/span&gt;&lt;/p&gt;"</f>
        <v>&lt;p class="stat-row-2"&gt;&lt;span class="stat-label-2"&gt;Start CA&lt;/span&gt;&lt;span class="stat-value-2"&gt;&lt;/span&gt;&lt;/p&gt;</v>
      </c>
      <c r="E139" s="3" t="str">
        <f>"&lt;p class=""stat-row-2""&gt;&lt;span class=""stat-label-2""&gt;Start CA&lt;/span&gt;&lt;span class=""stat-value-2""&gt;"&amp;$F$12&amp;"&lt;/span&gt;&lt;/p&gt;"</f>
        <v>&lt;p class="stat-row-2"&gt;&lt;span class="stat-label-2"&gt;Start CA&lt;/span&gt;&lt;span class="stat-value-2"&gt;&lt;/span&gt;&lt;/p&gt;</v>
      </c>
      <c r="F139" s="3" t="str">
        <f>"&lt;p class=""stat-row-2""&gt;&lt;span class=""stat-label-2""&gt;Start CA&lt;/span&gt;&lt;span class=""stat-value-2""&gt;"&amp;$F$22&amp;"&lt;/span&gt;&lt;/p&gt;"</f>
        <v>&lt;p class="stat-row-2"&gt;&lt;span class="stat-label-2"&gt;Start CA&lt;/span&gt;&lt;span class="stat-value-2"&gt;&lt;/span&gt;&lt;/p&gt;</v>
      </c>
      <c r="G139" s="3" t="str">
        <f>"&lt;p class=""stat-row-2""&gt;&lt;span class=""stat-label-2""&gt;Start CA&lt;/span&gt;&lt;span class=""stat-value-2""&gt;"&amp;$F$3&amp;"&lt;/span&gt;&lt;/p&gt;"</f>
        <v>&lt;p class="stat-row-2"&gt;&lt;span class="stat-label-2"&gt;Start CA&lt;/span&gt;&lt;span class="stat-value-2"&gt;&lt;/span&gt;&lt;/p&gt;</v>
      </c>
      <c r="H139" s="3" t="str">
        <f>"&lt;p class=""stat-row-2""&gt;&lt;span class=""stat-label-2""&gt;Start CA&lt;/span&gt;&lt;span class=""stat-value-2""&gt;"&amp;$F$7&amp;"&lt;/span&gt;&lt;/p&gt;"</f>
        <v>&lt;p class="stat-row-2"&gt;&lt;span class="stat-label-2"&gt;Start CA&lt;/span&gt;&lt;span class="stat-value-2"&gt;&lt;/span&gt;&lt;/p&gt;</v>
      </c>
      <c r="I139" s="3" t="str">
        <f>"&lt;p class=""stat-row-2""&gt;&lt;span class=""stat-label-2""&gt;Start CA&lt;/span&gt;&lt;span class=""stat-value-2""&gt;"&amp;$F$8&amp;"&lt;/span&gt;&lt;/p&gt;"</f>
        <v>&lt;p class="stat-row-2"&gt;&lt;span class="stat-label-2"&gt;Start CA&lt;/span&gt;&lt;span class="stat-value-2"&gt;&lt;/span&gt;&lt;/p&gt;</v>
      </c>
      <c r="J139" s="3" t="str">
        <f>"&lt;p class=""stat-row-2""&gt;&lt;span class=""stat-label-2""&gt;Start CA&lt;/span&gt;&lt;span class=""stat-value-2""&gt;"&amp;$F$23&amp;"&lt;/span&gt;&lt;/p&gt;"</f>
        <v>&lt;p class="stat-row-2"&gt;&lt;span class="stat-label-2"&gt;Start CA&lt;/span&gt;&lt;span class="stat-value-2"&gt;&lt;/span&gt;&lt;/p&gt;</v>
      </c>
      <c r="K139" s="3" t="str">
        <f>"&lt;p class=""stat-row-2""&gt;&lt;span class=""stat-label-2""&gt;Start CA&lt;/span&gt;&lt;span class=""stat-value-2""&gt;"&amp;$F$20&amp;"&lt;/span&gt;&lt;/p&gt;"</f>
        <v>&lt;p class="stat-row-2"&gt;&lt;span class="stat-label-2"&gt;Start CA&lt;/span&gt;&lt;span class="stat-value-2"&gt;&lt;/span&gt;&lt;/p&gt;</v>
      </c>
      <c r="L139" s="3" t="str">
        <f>"&lt;p class=""stat-row-2""&gt;&lt;span class=""stat-label-2""&gt;Start CA&lt;/span&gt;&lt;span class=""stat-value-2""&gt;"&amp;$F$14&amp;"&lt;/span&gt;&lt;/p&gt;"</f>
        <v>&lt;p class="stat-row-2"&gt;&lt;span class="stat-label-2"&gt;Start CA&lt;/span&gt;&lt;span class="stat-value-2"&gt;&lt;/span&gt;&lt;/p&gt;</v>
      </c>
      <c r="M139" s="3" t="str">
        <f>"&lt;p class=""stat-row-2""&gt;&lt;span class=""stat-label-2""&gt;Start CA&lt;/span&gt;&lt;span class=""stat-value-2""&gt;"&amp;$F$21&amp;"&lt;/span&gt;&lt;/p&gt;"</f>
        <v>&lt;p class="stat-row-2"&gt;&lt;span class="stat-label-2"&gt;Start CA&lt;/span&gt;&lt;span class="stat-value-2"&gt;&lt;/span&gt;&lt;/p&gt;</v>
      </c>
      <c r="N139" s="3" t="str">
        <f>"&lt;p class=""stat-row-2""&gt;&lt;span class=""stat-label-2""&gt;Start CA&lt;/span&gt;&lt;span class=""stat-value-2""&gt;"&amp;$F$11&amp;"&lt;/span&gt;&lt;/p&gt;"</f>
        <v>&lt;p class="stat-row-2"&gt;&lt;span class="stat-label-2"&gt;Start CA&lt;/span&gt;&lt;span class="stat-value-2"&gt;&lt;/span&gt;&lt;/p&gt;</v>
      </c>
      <c r="O139" s="3" t="str">
        <f>"&lt;p class=""stat-row-2""&gt;&lt;span class=""stat-label-2""&gt;Start CA&lt;/span&gt;&lt;span class=""stat-value-2""&gt;"&amp;$F$13&amp;"&lt;/span&gt;&lt;/p&gt;"</f>
        <v>&lt;p class="stat-row-2"&gt;&lt;span class="stat-label-2"&gt;Start CA&lt;/span&gt;&lt;span class="stat-value-2"&gt;&lt;/span&gt;&lt;/p&gt;</v>
      </c>
      <c r="P139" s="3" t="str">
        <f>"&lt;p class=""stat-row-2""&gt;&lt;span class=""stat-label-2""&gt;Start CA&lt;/span&gt;&lt;span class=""stat-value-2""&gt;"&amp;$F$5&amp;"&lt;/span&gt;&lt;/p&gt;"</f>
        <v>&lt;p class="stat-row-2"&gt;&lt;span class="stat-label-2"&gt;Start CA&lt;/span&gt;&lt;span class="stat-value-2"&gt;&lt;/span&gt;&lt;/p&gt;</v>
      </c>
      <c r="Q139" s="3" t="str">
        <f>"&lt;p class=""stat-row-2""&gt;&lt;span class=""stat-label-2""&gt;Start CA&lt;/span&gt;&lt;span class=""stat-value-2""&gt;"&amp;$F$10&amp;"&lt;/span&gt;&lt;/p&gt;"</f>
        <v>&lt;p class="stat-row-2"&gt;&lt;span class="stat-label-2"&gt;Start CA&lt;/span&gt;&lt;span class="stat-value-2"&gt;&lt;/span&gt;&lt;/p&gt;</v>
      </c>
      <c r="R139" s="3" t="str">
        <f>"&lt;p class=""stat-row-2""&gt;&lt;span class=""stat-label-2""&gt;Start CA&lt;/span&gt;&lt;span class=""stat-value-2""&gt;"&amp;$F$2&amp;"&lt;/span&gt;&lt;/p&gt;"</f>
        <v>&lt;p class="stat-row-2"&gt;&lt;span class="stat-label-2"&gt;Start CA&lt;/span&gt;&lt;span class="stat-value-2"&gt;&lt;/span&gt;&lt;/p&gt;</v>
      </c>
      <c r="S139" s="3" t="str">
        <f>"&lt;p class=""stat-row-2""&gt;&lt;span class=""stat-label-2""&gt;Start CA&lt;/span&gt;&lt;span class=""stat-value-2""&gt;"&amp;$F$19&amp;"&lt;/span&gt;&lt;/p&gt;"</f>
        <v>&lt;p class="stat-row-2"&gt;&lt;span class="stat-label-2"&gt;Start CA&lt;/span&gt;&lt;span class="stat-value-2"&gt;&lt;/span&gt;&lt;/p&gt;</v>
      </c>
      <c r="T139" s="3" t="str">
        <f>"&lt;p class=""stat-row-2""&gt;&lt;span class=""stat-label-2""&gt;Start CA&lt;/span&gt;&lt;span class=""stat-value-2""&gt;"&amp;$F$17&amp;"&lt;/span&gt;&lt;/p&gt;"</f>
        <v>&lt;p class="stat-row-2"&gt;&lt;span class="stat-label-2"&gt;Start CA&lt;/span&gt;&lt;span class="stat-value-2"&gt;&lt;/span&gt;&lt;/p&gt;</v>
      </c>
      <c r="U139" s="3" t="str">
        <f>"&lt;p class=""stat-row-2""&gt;&lt;span class=""stat-label-2""&gt;Start CA&lt;/span&gt;&lt;span class=""stat-value-2""&gt;"&amp;$F$18&amp;"&lt;/span&gt;&lt;/p&gt;"</f>
        <v>&lt;p class="stat-row-2"&gt;&lt;span class="stat-label-2"&gt;Start CA&lt;/span&gt;&lt;span class="stat-value-2"&gt;&lt;/span&gt;&lt;/p&gt;</v>
      </c>
      <c r="V139" s="3" t="str">
        <f>"&lt;p class=""stat-row-2""&gt;&lt;span class=""stat-label-2""&gt;Start CA&lt;/span&gt;&lt;span class=""stat-value-2""&gt;"&amp;$F$16&amp;"&lt;/span&gt;&lt;/p&gt;"</f>
        <v>&lt;p class="stat-row-2"&gt;&lt;span class="stat-label-2"&gt;Start CA&lt;/span&gt;&lt;span class="stat-value-2"&gt;&lt;/span&gt;&lt;/p&gt;</v>
      </c>
      <c r="W139" s="3" t="str">
        <f>"&lt;p class=""stat-row-2""&gt;&lt;span class=""stat-label-2""&gt;Start CA&lt;/span&gt;&lt;span class=""stat-value-2""&gt;"&amp;$F$6&amp;"&lt;/span&gt;&lt;/p&gt;"</f>
        <v>&lt;p class="stat-row-2"&gt;&lt;span class="stat-label-2"&gt;Start CA&lt;/span&gt;&lt;span class="stat-value-2"&gt;&lt;/span&gt;&lt;/p&gt;</v>
      </c>
    </row>
    <row r="140" spans="1:23" x14ac:dyDescent="0.3">
      <c r="A140" s="3" t="str">
        <f>"&lt;p class=""stat-row-2""&gt;&lt;span class=""stat-label-2""&gt;Outplay FWD&lt;/span&gt;&lt;span class=""stat-value-2""&gt;"&amp;$G$4&amp;"&lt;/span&gt;&lt;/p&gt;"</f>
        <v>&lt;p class="stat-row-2"&gt;&lt;span class="stat-label-2"&gt;Outplay FWD&lt;/span&gt;&lt;span class="stat-value-2"&gt;&lt;/span&gt;&lt;/p&gt;</v>
      </c>
      <c r="B140" s="3" t="str">
        <f>"&lt;p class=""stat-row-2""&gt;&lt;span class=""stat-label-2""&gt;Outplay FWD&lt;/span&gt;&lt;span class=""stat-value-2""&gt;"&amp;$G$15&amp;"&lt;/span&gt;&lt;/p&gt;"</f>
        <v>&lt;p class="stat-row-2"&gt;&lt;span class="stat-label-2"&gt;Outplay FWD&lt;/span&gt;&lt;span class="stat-value-2"&gt;&lt;/span&gt;&lt;/p&gt;</v>
      </c>
      <c r="C140" s="3" t="str">
        <f>"&lt;p class=""stat-row-2""&gt;&lt;span class=""stat-label-2""&gt;Outplay FWD&lt;/span&gt;&lt;span class=""stat-value-2""&gt;"&amp;$G$9&amp;"&lt;/span&gt;&lt;/p&gt;"</f>
        <v>&lt;p class="stat-row-2"&gt;&lt;span class="stat-label-2"&gt;Outplay FWD&lt;/span&gt;&lt;span class="stat-value-2"&gt;&lt;/span&gt;&lt;/p&gt;</v>
      </c>
      <c r="D140" s="3" t="str">
        <f>"&lt;p class=""stat-row-2""&gt;&lt;span class=""stat-label-2""&gt;Outplay FWD&lt;/span&gt;&lt;span class=""stat-value-2""&gt;"&amp;$G$24&amp;"&lt;/span&gt;&lt;/p&gt;"</f>
        <v>&lt;p class="stat-row-2"&gt;&lt;span class="stat-label-2"&gt;Outplay FWD&lt;/span&gt;&lt;span class="stat-value-2"&gt;&lt;/span&gt;&lt;/p&gt;</v>
      </c>
      <c r="E140" s="3" t="str">
        <f>"&lt;p class=""stat-row-2""&gt;&lt;span class=""stat-label-2""&gt;Outplay FWD&lt;/span&gt;&lt;span class=""stat-value-2""&gt;"&amp;$G$12&amp;"&lt;/span&gt;&lt;/p&gt;"</f>
        <v>&lt;p class="stat-row-2"&gt;&lt;span class="stat-label-2"&gt;Outplay FWD&lt;/span&gt;&lt;span class="stat-value-2"&gt;&lt;/span&gt;&lt;/p&gt;</v>
      </c>
      <c r="F140" s="3" t="str">
        <f>"&lt;p class=""stat-row-2""&gt;&lt;span class=""stat-label-2""&gt;Outplay FWD&lt;/span&gt;&lt;span class=""stat-value-2""&gt;"&amp;$G$22&amp;"&lt;/span&gt;&lt;/p&gt;"</f>
        <v>&lt;p class="stat-row-2"&gt;&lt;span class="stat-label-2"&gt;Outplay FWD&lt;/span&gt;&lt;span class="stat-value-2"&gt;&lt;/span&gt;&lt;/p&gt;</v>
      </c>
      <c r="G140" s="3" t="str">
        <f>"&lt;p class=""stat-row-2""&gt;&lt;span class=""stat-label-2""&gt;Outplay FWD&lt;/span&gt;&lt;span class=""stat-value-2""&gt;"&amp;$G$3&amp;"&lt;/span&gt;&lt;/p&gt;"</f>
        <v>&lt;p class="stat-row-2"&gt;&lt;span class="stat-label-2"&gt;Outplay FWD&lt;/span&gt;&lt;span class="stat-value-2"&gt;&lt;/span&gt;&lt;/p&gt;</v>
      </c>
      <c r="H140" s="3" t="str">
        <f>"&lt;p class=""stat-row-2""&gt;&lt;span class=""stat-label-2""&gt;Outplay FWD&lt;/span&gt;&lt;span class=""stat-value-2""&gt;"&amp;$G$7&amp;"&lt;/span&gt;&lt;/p&gt;"</f>
        <v>&lt;p class="stat-row-2"&gt;&lt;span class="stat-label-2"&gt;Outplay FWD&lt;/span&gt;&lt;span class="stat-value-2"&gt;&lt;/span&gt;&lt;/p&gt;</v>
      </c>
      <c r="I140" s="3" t="str">
        <f>"&lt;p class=""stat-row-2""&gt;&lt;span class=""stat-label-2""&gt;Outplay FWD&lt;/span&gt;&lt;span class=""stat-value-2""&gt;"&amp;$G$8&amp;"&lt;/span&gt;&lt;/p&gt;"</f>
        <v>&lt;p class="stat-row-2"&gt;&lt;span class="stat-label-2"&gt;Outplay FWD&lt;/span&gt;&lt;span class="stat-value-2"&gt;&lt;/span&gt;&lt;/p&gt;</v>
      </c>
      <c r="J140" s="3" t="str">
        <f>"&lt;p class=""stat-row-2""&gt;&lt;span class=""stat-label-2""&gt;Outplay FWD&lt;/span&gt;&lt;span class=""stat-value-2""&gt;"&amp;$G$23&amp;"&lt;/span&gt;&lt;/p&gt;"</f>
        <v>&lt;p class="stat-row-2"&gt;&lt;span class="stat-label-2"&gt;Outplay FWD&lt;/span&gt;&lt;span class="stat-value-2"&gt;&lt;/span&gt;&lt;/p&gt;</v>
      </c>
      <c r="K140" s="3" t="str">
        <f>"&lt;p class=""stat-row-2""&gt;&lt;span class=""stat-label-2""&gt;Outplay FWD&lt;/span&gt;&lt;span class=""stat-value-2""&gt;"&amp;$G$20&amp;"&lt;/span&gt;&lt;/p&gt;"</f>
        <v>&lt;p class="stat-row-2"&gt;&lt;span class="stat-label-2"&gt;Outplay FWD&lt;/span&gt;&lt;span class="stat-value-2"&gt;&lt;/span&gt;&lt;/p&gt;</v>
      </c>
      <c r="L140" s="3" t="str">
        <f>"&lt;p class=""stat-row-2""&gt;&lt;span class=""stat-label-2""&gt;Outplay FWD&lt;/span&gt;&lt;span class=""stat-value-2""&gt;"&amp;$G$14&amp;"&lt;/span&gt;&lt;/p&gt;"</f>
        <v>&lt;p class="stat-row-2"&gt;&lt;span class="stat-label-2"&gt;Outplay FWD&lt;/span&gt;&lt;span class="stat-value-2"&gt;&lt;/span&gt;&lt;/p&gt;</v>
      </c>
      <c r="M140" s="3" t="str">
        <f>"&lt;p class=""stat-row-2""&gt;&lt;span class=""stat-label-2""&gt;Outplay FWD&lt;/span&gt;&lt;span class=""stat-value-2""&gt;"&amp;$G$21&amp;"&lt;/span&gt;&lt;/p&gt;"</f>
        <v>&lt;p class="stat-row-2"&gt;&lt;span class="stat-label-2"&gt;Outplay FWD&lt;/span&gt;&lt;span class="stat-value-2"&gt;&lt;/span&gt;&lt;/p&gt;</v>
      </c>
      <c r="N140" s="3" t="str">
        <f>"&lt;p class=""stat-row-2""&gt;&lt;span class=""stat-label-2""&gt;Outplay FWD&lt;/span&gt;&lt;span class=""stat-value-2""&gt;"&amp;$G$11&amp;"&lt;/span&gt;&lt;/p&gt;"</f>
        <v>&lt;p class="stat-row-2"&gt;&lt;span class="stat-label-2"&gt;Outplay FWD&lt;/span&gt;&lt;span class="stat-value-2"&gt;&lt;/span&gt;&lt;/p&gt;</v>
      </c>
      <c r="O140" s="3" t="str">
        <f>"&lt;p class=""stat-row-2""&gt;&lt;span class=""stat-label-2""&gt;Outplay FWD&lt;/span&gt;&lt;span class=""stat-value-2""&gt;"&amp;$G$13&amp;"&lt;/span&gt;&lt;/p&gt;"</f>
        <v>&lt;p class="stat-row-2"&gt;&lt;span class="stat-label-2"&gt;Outplay FWD&lt;/span&gt;&lt;span class="stat-value-2"&gt;&lt;/span&gt;&lt;/p&gt;</v>
      </c>
      <c r="P140" s="3" t="str">
        <f>"&lt;p class=""stat-row-2""&gt;&lt;span class=""stat-label-2""&gt;Outplay FWD&lt;/span&gt;&lt;span class=""stat-value-2""&gt;"&amp;$G$5&amp;"&lt;/span&gt;&lt;/p&gt;"</f>
        <v>&lt;p class="stat-row-2"&gt;&lt;span class="stat-label-2"&gt;Outplay FWD&lt;/span&gt;&lt;span class="stat-value-2"&gt;&lt;/span&gt;&lt;/p&gt;</v>
      </c>
      <c r="Q140" s="3" t="str">
        <f>"&lt;p class=""stat-row-2""&gt;&lt;span class=""stat-label-2""&gt;Outplay FWD&lt;/span&gt;&lt;span class=""stat-value-2""&gt;"&amp;$G$10&amp;"&lt;/span&gt;&lt;/p&gt;"</f>
        <v>&lt;p class="stat-row-2"&gt;&lt;span class="stat-label-2"&gt;Outplay FWD&lt;/span&gt;&lt;span class="stat-value-2"&gt;&lt;/span&gt;&lt;/p&gt;</v>
      </c>
      <c r="R140" s="3" t="str">
        <f>"&lt;p class=""stat-row-2""&gt;&lt;span class=""stat-label-2""&gt;Outplay FWD&lt;/span&gt;&lt;span class=""stat-value-2""&gt;"&amp;$G$2&amp;"&lt;/span&gt;&lt;/p&gt;"</f>
        <v>&lt;p class="stat-row-2"&gt;&lt;span class="stat-label-2"&gt;Outplay FWD&lt;/span&gt;&lt;span class="stat-value-2"&gt;&lt;/span&gt;&lt;/p&gt;</v>
      </c>
      <c r="S140" s="3" t="str">
        <f>"&lt;p class=""stat-row-2""&gt;&lt;span class=""stat-label-2""&gt;Outplay FWD&lt;/span&gt;&lt;span class=""stat-value-2""&gt;"&amp;$G$19&amp;"&lt;/span&gt;&lt;/p&gt;"</f>
        <v>&lt;p class="stat-row-2"&gt;&lt;span class="stat-label-2"&gt;Outplay FWD&lt;/span&gt;&lt;span class="stat-value-2"&gt;&lt;/span&gt;&lt;/p&gt;</v>
      </c>
      <c r="T140" s="3" t="str">
        <f>"&lt;p class=""stat-row-2""&gt;&lt;span class=""stat-label-2""&gt;Outplay FWD&lt;/span&gt;&lt;span class=""stat-value-2""&gt;"&amp;$G$17&amp;"&lt;/span&gt;&lt;/p&gt;"</f>
        <v>&lt;p class="stat-row-2"&gt;&lt;span class="stat-label-2"&gt;Outplay FWD&lt;/span&gt;&lt;span class="stat-value-2"&gt;&lt;/span&gt;&lt;/p&gt;</v>
      </c>
      <c r="U140" s="3" t="str">
        <f>"&lt;p class=""stat-row-2""&gt;&lt;span class=""stat-label-2""&gt;Outplay FWD&lt;/span&gt;&lt;span class=""stat-value-2""&gt;"&amp;$G$18&amp;"&lt;/span&gt;&lt;/p&gt;"</f>
        <v>&lt;p class="stat-row-2"&gt;&lt;span class="stat-label-2"&gt;Outplay FWD&lt;/span&gt;&lt;span class="stat-value-2"&gt;&lt;/span&gt;&lt;/p&gt;</v>
      </c>
      <c r="V140" s="3" t="str">
        <f>"&lt;p class=""stat-row-2""&gt;&lt;span class=""stat-label-2""&gt;Outplay FWD&lt;/span&gt;&lt;span class=""stat-value-2""&gt;"&amp;$G$16&amp;"&lt;/span&gt;&lt;/p&gt;"</f>
        <v>&lt;p class="stat-row-2"&gt;&lt;span class="stat-label-2"&gt;Outplay FWD&lt;/span&gt;&lt;span class="stat-value-2"&gt;&lt;/span&gt;&lt;/p&gt;</v>
      </c>
      <c r="W140" s="3" t="str">
        <f>"&lt;p class=""stat-row-2""&gt;&lt;span class=""stat-label-2""&gt;Outplay FWD&lt;/span&gt;&lt;span class=""stat-value-2""&gt;"&amp;$G$6&amp;"&lt;/span&gt;&lt;/p&gt;"</f>
        <v>&lt;p class="stat-row-2"&gt;&lt;span class="stat-label-2"&gt;Outplay FWD&lt;/span&gt;&lt;span class="stat-value-2"&gt;&lt;/span&gt;&lt;/p&gt;</v>
      </c>
    </row>
    <row r="141" spans="1:23" x14ac:dyDescent="0.3">
      <c r="A141" s="3" t="str">
        <f>"&lt;p class=""stat-row-2""&gt;&lt;span class=""stat-label-2""&gt;Eff. Crosses&lt;/span&gt;&lt;span class=""stat-value-2""&gt;"&amp;$H$4&amp;"&lt;/span&gt;&lt;/p&gt;"</f>
        <v>&lt;p class="stat-row-2"&gt;&lt;span class="stat-label-2"&gt;Eff. Crosses&lt;/span&gt;&lt;span class="stat-value-2"&gt;&lt;/span&gt;&lt;/p&gt;</v>
      </c>
      <c r="B141" s="3" t="str">
        <f>"&lt;p class=""stat-row-2""&gt;&lt;span class=""stat-label-2""&gt;Eff. Crosses&lt;/span&gt;&lt;span class=""stat-value-2""&gt;"&amp;$H$15&amp;"&lt;/span&gt;&lt;/p&gt;"</f>
        <v>&lt;p class="stat-row-2"&gt;&lt;span class="stat-label-2"&gt;Eff. Crosses&lt;/span&gt;&lt;span class="stat-value-2"&gt;&lt;/span&gt;&lt;/p&gt;</v>
      </c>
      <c r="C141" s="3" t="str">
        <f>"&lt;p class=""stat-row-2""&gt;&lt;span class=""stat-label-2""&gt;Eff. Crosses&lt;/span&gt;&lt;span class=""stat-value-2""&gt;"&amp;$H$9&amp;"&lt;/span&gt;&lt;/p&gt;"</f>
        <v>&lt;p class="stat-row-2"&gt;&lt;span class="stat-label-2"&gt;Eff. Crosses&lt;/span&gt;&lt;span class="stat-value-2"&gt;&lt;/span&gt;&lt;/p&gt;</v>
      </c>
      <c r="D141" s="3" t="str">
        <f>"&lt;p class=""stat-row-2""&gt;&lt;span class=""stat-label-2""&gt;Eff. Crosses&lt;/span&gt;&lt;span class=""stat-value-2""&gt;"&amp;$H$24&amp;"&lt;/span&gt;&lt;/p&gt;"</f>
        <v>&lt;p class="stat-row-2"&gt;&lt;span class="stat-label-2"&gt;Eff. Crosses&lt;/span&gt;&lt;span class="stat-value-2"&gt;&lt;/span&gt;&lt;/p&gt;</v>
      </c>
      <c r="E141" s="3" t="str">
        <f>"&lt;p class=""stat-row-2""&gt;&lt;span class=""stat-label-2""&gt;Eff. Crosses&lt;/span&gt;&lt;span class=""stat-value-2""&gt;"&amp;$H$12&amp;"&lt;/span&gt;&lt;/p&gt;"</f>
        <v>&lt;p class="stat-row-2"&gt;&lt;span class="stat-label-2"&gt;Eff. Crosses&lt;/span&gt;&lt;span class="stat-value-2"&gt;&lt;/span&gt;&lt;/p&gt;</v>
      </c>
      <c r="F141" s="3" t="str">
        <f>"&lt;p class=""stat-row-2""&gt;&lt;span class=""stat-label-2""&gt;Eff. Crosses&lt;/span&gt;&lt;span class=""stat-value-2""&gt;"&amp;$H$22&amp;"&lt;/span&gt;&lt;/p&gt;"</f>
        <v>&lt;p class="stat-row-2"&gt;&lt;span class="stat-label-2"&gt;Eff. Crosses&lt;/span&gt;&lt;span class="stat-value-2"&gt;&lt;/span&gt;&lt;/p&gt;</v>
      </c>
      <c r="G141" s="3" t="str">
        <f>"&lt;p class=""stat-row-2""&gt;&lt;span class=""stat-label-2""&gt;Eff. Crosses&lt;/span&gt;&lt;span class=""stat-value-2""&gt;"&amp;$H$3&amp;"&lt;/span&gt;&lt;/p&gt;"</f>
        <v>&lt;p class="stat-row-2"&gt;&lt;span class="stat-label-2"&gt;Eff. Crosses&lt;/span&gt;&lt;span class="stat-value-2"&gt;&lt;/span&gt;&lt;/p&gt;</v>
      </c>
      <c r="H141" s="3" t="str">
        <f>"&lt;p class=""stat-row-2""&gt;&lt;span class=""stat-label-2""&gt;Eff. Crosses&lt;/span&gt;&lt;span class=""stat-value-2""&gt;"&amp;$H$7&amp;"&lt;/span&gt;&lt;/p&gt;"</f>
        <v>&lt;p class="stat-row-2"&gt;&lt;span class="stat-label-2"&gt;Eff. Crosses&lt;/span&gt;&lt;span class="stat-value-2"&gt;&lt;/span&gt;&lt;/p&gt;</v>
      </c>
      <c r="I141" s="3" t="str">
        <f>"&lt;p class=""stat-row-2""&gt;&lt;span class=""stat-label-2""&gt;Eff. Crosses&lt;/span&gt;&lt;span class=""stat-value-2""&gt;"&amp;$H$8&amp;"&lt;/span&gt;&lt;/p&gt;"</f>
        <v>&lt;p class="stat-row-2"&gt;&lt;span class="stat-label-2"&gt;Eff. Crosses&lt;/span&gt;&lt;span class="stat-value-2"&gt;&lt;/span&gt;&lt;/p&gt;</v>
      </c>
      <c r="J141" s="3" t="str">
        <f>"&lt;p class=""stat-row-2""&gt;&lt;span class=""stat-label-2""&gt;Eff. Crosses&lt;/span&gt;&lt;span class=""stat-value-2""&gt;"&amp;$H$23&amp;"&lt;/span&gt;&lt;/p&gt;"</f>
        <v>&lt;p class="stat-row-2"&gt;&lt;span class="stat-label-2"&gt;Eff. Crosses&lt;/span&gt;&lt;span class="stat-value-2"&gt;&lt;/span&gt;&lt;/p&gt;</v>
      </c>
      <c r="K141" s="3" t="str">
        <f>"&lt;p class=""stat-row-2""&gt;&lt;span class=""stat-label-2""&gt;Eff. Crosses&lt;/span&gt;&lt;span class=""stat-value-2""&gt;"&amp;$H$20&amp;"&lt;/span&gt;&lt;/p&gt;"</f>
        <v>&lt;p class="stat-row-2"&gt;&lt;span class="stat-label-2"&gt;Eff. Crosses&lt;/span&gt;&lt;span class="stat-value-2"&gt;&lt;/span&gt;&lt;/p&gt;</v>
      </c>
      <c r="L141" s="3" t="str">
        <f>"&lt;p class=""stat-row-2""&gt;&lt;span class=""stat-label-2""&gt;Eff. Crosses&lt;/span&gt;&lt;span class=""stat-value-2""&gt;"&amp;$H$14&amp;"&lt;/span&gt;&lt;/p&gt;"</f>
        <v>&lt;p class="stat-row-2"&gt;&lt;span class="stat-label-2"&gt;Eff. Crosses&lt;/span&gt;&lt;span class="stat-value-2"&gt;&lt;/span&gt;&lt;/p&gt;</v>
      </c>
      <c r="M141" s="3" t="str">
        <f>"&lt;p class=""stat-row-2""&gt;&lt;span class=""stat-label-2""&gt;Eff. Crosses&lt;/span&gt;&lt;span class=""stat-value-2""&gt;"&amp;$H$21&amp;"&lt;/span&gt;&lt;/p&gt;"</f>
        <v>&lt;p class="stat-row-2"&gt;&lt;span class="stat-label-2"&gt;Eff. Crosses&lt;/span&gt;&lt;span class="stat-value-2"&gt;&lt;/span&gt;&lt;/p&gt;</v>
      </c>
      <c r="N141" s="3" t="str">
        <f>"&lt;p class=""stat-row-2""&gt;&lt;span class=""stat-label-2""&gt;Eff. Crosses&lt;/span&gt;&lt;span class=""stat-value-2""&gt;"&amp;$H$11&amp;"&lt;/span&gt;&lt;/p&gt;"</f>
        <v>&lt;p class="stat-row-2"&gt;&lt;span class="stat-label-2"&gt;Eff. Crosses&lt;/span&gt;&lt;span class="stat-value-2"&gt;&lt;/span&gt;&lt;/p&gt;</v>
      </c>
      <c r="O141" s="3" t="str">
        <f>"&lt;p class=""stat-row-2""&gt;&lt;span class=""stat-label-2""&gt;Eff. Crosses&lt;/span&gt;&lt;span class=""stat-value-2""&gt;"&amp;$H$13&amp;"&lt;/span&gt;&lt;/p&gt;"</f>
        <v>&lt;p class="stat-row-2"&gt;&lt;span class="stat-label-2"&gt;Eff. Crosses&lt;/span&gt;&lt;span class="stat-value-2"&gt;&lt;/span&gt;&lt;/p&gt;</v>
      </c>
      <c r="P141" s="3" t="str">
        <f>"&lt;p class=""stat-row-2""&gt;&lt;span class=""stat-label-2""&gt;Eff. Crosses&lt;/span&gt;&lt;span class=""stat-value-2""&gt;"&amp;$H$5&amp;"&lt;/span&gt;&lt;/p&gt;"</f>
        <v>&lt;p class="stat-row-2"&gt;&lt;span class="stat-label-2"&gt;Eff. Crosses&lt;/span&gt;&lt;span class="stat-value-2"&gt;&lt;/span&gt;&lt;/p&gt;</v>
      </c>
      <c r="Q141" s="3" t="str">
        <f>"&lt;p class=""stat-row-2""&gt;&lt;span class=""stat-label-2""&gt;Eff. Crosses&lt;/span&gt;&lt;span class=""stat-value-2""&gt;"&amp;$H$10&amp;"&lt;/span&gt;&lt;/p&gt;"</f>
        <v>&lt;p class="stat-row-2"&gt;&lt;span class="stat-label-2"&gt;Eff. Crosses&lt;/span&gt;&lt;span class="stat-value-2"&gt;&lt;/span&gt;&lt;/p&gt;</v>
      </c>
      <c r="R141" s="3" t="str">
        <f>"&lt;p class=""stat-row-2""&gt;&lt;span class=""stat-label-2""&gt;Eff. Crosses&lt;/span&gt;&lt;span class=""stat-value-2""&gt;"&amp;$H$2&amp;"&lt;/span&gt;&lt;/p&gt;"</f>
        <v>&lt;p class="stat-row-2"&gt;&lt;span class="stat-label-2"&gt;Eff. Crosses&lt;/span&gt;&lt;span class="stat-value-2"&gt;&lt;/span&gt;&lt;/p&gt;</v>
      </c>
      <c r="S141" s="3" t="str">
        <f>"&lt;p class=""stat-row-2""&gt;&lt;span class=""stat-label-2""&gt;Eff. Crosses&lt;/span&gt;&lt;span class=""stat-value-2""&gt;"&amp;$H$19&amp;"&lt;/span&gt;&lt;/p&gt;"</f>
        <v>&lt;p class="stat-row-2"&gt;&lt;span class="stat-label-2"&gt;Eff. Crosses&lt;/span&gt;&lt;span class="stat-value-2"&gt;&lt;/span&gt;&lt;/p&gt;</v>
      </c>
      <c r="T141" s="3" t="str">
        <f>"&lt;p class=""stat-row-2""&gt;&lt;span class=""stat-label-2""&gt;Eff. Crosses&lt;/span&gt;&lt;span class=""stat-value-2""&gt;"&amp;$H$17&amp;"&lt;/span&gt;&lt;/p&gt;"</f>
        <v>&lt;p class="stat-row-2"&gt;&lt;span class="stat-label-2"&gt;Eff. Crosses&lt;/span&gt;&lt;span class="stat-value-2"&gt;&lt;/span&gt;&lt;/p&gt;</v>
      </c>
      <c r="U141" s="3" t="str">
        <f>"&lt;p class=""stat-row-2""&gt;&lt;span class=""stat-label-2""&gt;Eff. Crosses&lt;/span&gt;&lt;span class=""stat-value-2""&gt;"&amp;$H$18&amp;"&lt;/span&gt;&lt;/p&gt;"</f>
        <v>&lt;p class="stat-row-2"&gt;&lt;span class="stat-label-2"&gt;Eff. Crosses&lt;/span&gt;&lt;span class="stat-value-2"&gt;&lt;/span&gt;&lt;/p&gt;</v>
      </c>
      <c r="V141" s="3" t="str">
        <f>"&lt;p class=""stat-row-2""&gt;&lt;span class=""stat-label-2""&gt;Eff. Crosses&lt;/span&gt;&lt;span class=""stat-value-2""&gt;"&amp;$H$16&amp;"&lt;/span&gt;&lt;/p&gt;"</f>
        <v>&lt;p class="stat-row-2"&gt;&lt;span class="stat-label-2"&gt;Eff. Crosses&lt;/span&gt;&lt;span class="stat-value-2"&gt;&lt;/span&gt;&lt;/p&gt;</v>
      </c>
      <c r="W141" s="3" t="str">
        <f>"&lt;p class=""stat-row-2""&gt;&lt;span class=""stat-label-2""&gt;Eff. Crosses&lt;/span&gt;&lt;span class=""stat-value-2""&gt;"&amp;$H$6&amp;"&lt;/span&gt;&lt;/p&gt;"</f>
        <v>&lt;p class="stat-row-2"&gt;&lt;span class="stat-label-2"&gt;Eff. Crosses&lt;/span&gt;&lt;span class="stat-value-2"&gt;&lt;/span&gt;&lt;/p&gt;</v>
      </c>
    </row>
    <row r="142" spans="1:23" x14ac:dyDescent="0.3">
      <c r="A142" s="3" t="str">
        <f>"&lt;p class=""stat-row-2""&gt;&lt;span class=""stat-label-2""&gt;1v1s&lt;/span&gt;&lt;span class=""stat-value-2""&gt;"&amp;$I$4&amp;"&lt;/span&gt;&lt;/p&gt;"</f>
        <v>&lt;p class="stat-row-2"&gt;&lt;span class="stat-label-2"&gt;1v1s&lt;/span&gt;&lt;span class="stat-value-2"&gt;&lt;/span&gt;&lt;/p&gt;</v>
      </c>
      <c r="B142" s="3" t="str">
        <f>"&lt;p class=""stat-row-2""&gt;&lt;span class=""stat-label-2""&gt;1v1s&lt;/span&gt;&lt;span class=""stat-value-2""&gt;"&amp;$I$15&amp;"&lt;/span&gt;&lt;/p&gt;"</f>
        <v>&lt;p class="stat-row-2"&gt;&lt;span class="stat-label-2"&gt;1v1s&lt;/span&gt;&lt;span class="stat-value-2"&gt;&lt;/span&gt;&lt;/p&gt;</v>
      </c>
      <c r="C142" s="3" t="str">
        <f>"&lt;p class=""stat-row-2""&gt;&lt;span class=""stat-label-2""&gt;1v1s&lt;/span&gt;&lt;span class=""stat-value-2""&gt;"&amp;$I$9&amp;"&lt;/span&gt;&lt;/p&gt;"</f>
        <v>&lt;p class="stat-row-2"&gt;&lt;span class="stat-label-2"&gt;1v1s&lt;/span&gt;&lt;span class="stat-value-2"&gt;&lt;/span&gt;&lt;/p&gt;</v>
      </c>
      <c r="D142" s="3" t="str">
        <f>"&lt;p class=""stat-row-2""&gt;&lt;span class=""stat-label-2""&gt;1v1s&lt;/span&gt;&lt;span class=""stat-value-2""&gt;"&amp;$I$24&amp;"&lt;/span&gt;&lt;/p&gt;"</f>
        <v>&lt;p class="stat-row-2"&gt;&lt;span class="stat-label-2"&gt;1v1s&lt;/span&gt;&lt;span class="stat-value-2"&gt;&lt;/span&gt;&lt;/p&gt;</v>
      </c>
      <c r="E142" s="3" t="str">
        <f>"&lt;p class=""stat-row-2""&gt;&lt;span class=""stat-label-2""&gt;1v1s&lt;/span&gt;&lt;span class=""stat-value-2""&gt;"&amp;$I$12&amp;"&lt;/span&gt;&lt;/p&gt;"</f>
        <v>&lt;p class="stat-row-2"&gt;&lt;span class="stat-label-2"&gt;1v1s&lt;/span&gt;&lt;span class="stat-value-2"&gt;&lt;/span&gt;&lt;/p&gt;</v>
      </c>
      <c r="F142" s="3" t="str">
        <f>"&lt;p class=""stat-row-2""&gt;&lt;span class=""stat-label-2""&gt;1v1s&lt;/span&gt;&lt;span class=""stat-value-2""&gt;"&amp;$I$22&amp;"&lt;/span&gt;&lt;/p&gt;"</f>
        <v>&lt;p class="stat-row-2"&gt;&lt;span class="stat-label-2"&gt;1v1s&lt;/span&gt;&lt;span class="stat-value-2"&gt;&lt;/span&gt;&lt;/p&gt;</v>
      </c>
      <c r="G142" s="3" t="str">
        <f>"&lt;p class=""stat-row-2""&gt;&lt;span class=""stat-label-2""&gt;1v1s&lt;/span&gt;&lt;span class=""stat-value-2""&gt;"&amp;$I$3&amp;"&lt;/span&gt;&lt;/p&gt;"</f>
        <v>&lt;p class="stat-row-2"&gt;&lt;span class="stat-label-2"&gt;1v1s&lt;/span&gt;&lt;span class="stat-value-2"&gt;&lt;/span&gt;&lt;/p&gt;</v>
      </c>
      <c r="H142" s="3" t="str">
        <f>"&lt;p class=""stat-row-2""&gt;&lt;span class=""stat-label-2""&gt;1v1s&lt;/span&gt;&lt;span class=""stat-value-2""&gt;"&amp;$I$7&amp;"&lt;/span&gt;&lt;/p&gt;"</f>
        <v>&lt;p class="stat-row-2"&gt;&lt;span class="stat-label-2"&gt;1v1s&lt;/span&gt;&lt;span class="stat-value-2"&gt;&lt;/span&gt;&lt;/p&gt;</v>
      </c>
      <c r="I142" s="3" t="str">
        <f>"&lt;p class=""stat-row-2""&gt;&lt;span class=""stat-label-2""&gt;1v1s&lt;/span&gt;&lt;span class=""stat-value-2""&gt;"&amp;$I$8&amp;"&lt;/span&gt;&lt;/p&gt;"</f>
        <v>&lt;p class="stat-row-2"&gt;&lt;span class="stat-label-2"&gt;1v1s&lt;/span&gt;&lt;span class="stat-value-2"&gt;&lt;/span&gt;&lt;/p&gt;</v>
      </c>
      <c r="J142" s="3" t="str">
        <f>"&lt;p class=""stat-row-2""&gt;&lt;span class=""stat-label-2""&gt;1v1s&lt;/span&gt;&lt;span class=""stat-value-2""&gt;"&amp;$I$23&amp;"&lt;/span&gt;&lt;/p&gt;"</f>
        <v>&lt;p class="stat-row-2"&gt;&lt;span class="stat-label-2"&gt;1v1s&lt;/span&gt;&lt;span class="stat-value-2"&gt;&lt;/span&gt;&lt;/p&gt;</v>
      </c>
      <c r="K142" s="3" t="str">
        <f>"&lt;p class=""stat-row-2""&gt;&lt;span class=""stat-label-2""&gt;1v1s&lt;/span&gt;&lt;span class=""stat-value-2""&gt;"&amp;$I$20&amp;"&lt;/span&gt;&lt;/p&gt;"</f>
        <v>&lt;p class="stat-row-2"&gt;&lt;span class="stat-label-2"&gt;1v1s&lt;/span&gt;&lt;span class="stat-value-2"&gt;&lt;/span&gt;&lt;/p&gt;</v>
      </c>
      <c r="L142" s="3" t="str">
        <f>"&lt;p class=""stat-row-2""&gt;&lt;span class=""stat-label-2""&gt;1v1s&lt;/span&gt;&lt;span class=""stat-value-2""&gt;"&amp;$I$14&amp;"&lt;/span&gt;&lt;/p&gt;"</f>
        <v>&lt;p class="stat-row-2"&gt;&lt;span class="stat-label-2"&gt;1v1s&lt;/span&gt;&lt;span class="stat-value-2"&gt;&lt;/span&gt;&lt;/p&gt;</v>
      </c>
      <c r="M142" s="3" t="str">
        <f>"&lt;p class=""stat-row-2""&gt;&lt;span class=""stat-label-2""&gt;1v1s&lt;/span&gt;&lt;span class=""stat-value-2""&gt;"&amp;$I$21&amp;"&lt;/span&gt;&lt;/p&gt;"</f>
        <v>&lt;p class="stat-row-2"&gt;&lt;span class="stat-label-2"&gt;1v1s&lt;/span&gt;&lt;span class="stat-value-2"&gt;&lt;/span&gt;&lt;/p&gt;</v>
      </c>
      <c r="N142" s="3" t="str">
        <f>"&lt;p class=""stat-row-2""&gt;&lt;span class=""stat-label-2""&gt;1v1s&lt;/span&gt;&lt;span class=""stat-value-2""&gt;"&amp;$I$11&amp;"&lt;/span&gt;&lt;/p&gt;"</f>
        <v>&lt;p class="stat-row-2"&gt;&lt;span class="stat-label-2"&gt;1v1s&lt;/span&gt;&lt;span class="stat-value-2"&gt;&lt;/span&gt;&lt;/p&gt;</v>
      </c>
      <c r="O142" s="3" t="str">
        <f>"&lt;p class=""stat-row-2""&gt;&lt;span class=""stat-label-2""&gt;1v1s&lt;/span&gt;&lt;span class=""stat-value-2""&gt;"&amp;$I$13&amp;"&lt;/span&gt;&lt;/p&gt;"</f>
        <v>&lt;p class="stat-row-2"&gt;&lt;span class="stat-label-2"&gt;1v1s&lt;/span&gt;&lt;span class="stat-value-2"&gt;&lt;/span&gt;&lt;/p&gt;</v>
      </c>
      <c r="P142" s="3" t="str">
        <f>"&lt;p class=""stat-row-2""&gt;&lt;span class=""stat-label-2""&gt;1v1s&lt;/span&gt;&lt;span class=""stat-value-2""&gt;"&amp;$I$5&amp;"&lt;/span&gt;&lt;/p&gt;"</f>
        <v>&lt;p class="stat-row-2"&gt;&lt;span class="stat-label-2"&gt;1v1s&lt;/span&gt;&lt;span class="stat-value-2"&gt;&lt;/span&gt;&lt;/p&gt;</v>
      </c>
      <c r="Q142" s="3" t="str">
        <f>"&lt;p class=""stat-row-2""&gt;&lt;span class=""stat-label-2""&gt;1v1s&lt;/span&gt;&lt;span class=""stat-value-2""&gt;"&amp;$I$10&amp;"&lt;/span&gt;&lt;/p&gt;"</f>
        <v>&lt;p class="stat-row-2"&gt;&lt;span class="stat-label-2"&gt;1v1s&lt;/span&gt;&lt;span class="stat-value-2"&gt;&lt;/span&gt;&lt;/p&gt;</v>
      </c>
      <c r="R142" s="3" t="str">
        <f>"&lt;p class=""stat-row-2""&gt;&lt;span class=""stat-label-2""&gt;1v1s&lt;/span&gt;&lt;span class=""stat-value-2""&gt;"&amp;$I$2&amp;"&lt;/span&gt;&lt;/p&gt;"</f>
        <v>&lt;p class="stat-row-2"&gt;&lt;span class="stat-label-2"&gt;1v1s&lt;/span&gt;&lt;span class="stat-value-2"&gt;&lt;/span&gt;&lt;/p&gt;</v>
      </c>
      <c r="S142" s="3" t="str">
        <f>"&lt;p class=""stat-row-2""&gt;&lt;span class=""stat-label-2""&gt;1v1s&lt;/span&gt;&lt;span class=""stat-value-2""&gt;"&amp;$I$19&amp;"&lt;/span&gt;&lt;/p&gt;"</f>
        <v>&lt;p class="stat-row-2"&gt;&lt;span class="stat-label-2"&gt;1v1s&lt;/span&gt;&lt;span class="stat-value-2"&gt;&lt;/span&gt;&lt;/p&gt;</v>
      </c>
      <c r="T142" s="3" t="str">
        <f>"&lt;p class=""stat-row-2""&gt;&lt;span class=""stat-label-2""&gt;1v1s&lt;/span&gt;&lt;span class=""stat-value-2""&gt;"&amp;$I$17&amp;"&lt;/span&gt;&lt;/p&gt;"</f>
        <v>&lt;p class="stat-row-2"&gt;&lt;span class="stat-label-2"&gt;1v1s&lt;/span&gt;&lt;span class="stat-value-2"&gt;&lt;/span&gt;&lt;/p&gt;</v>
      </c>
      <c r="U142" s="3" t="str">
        <f>"&lt;p class=""stat-row-2""&gt;&lt;span class=""stat-label-2""&gt;1v1s&lt;/span&gt;&lt;span class=""stat-value-2""&gt;"&amp;$I$18&amp;"&lt;/span&gt;&lt;/p&gt;"</f>
        <v>&lt;p class="stat-row-2"&gt;&lt;span class="stat-label-2"&gt;1v1s&lt;/span&gt;&lt;span class="stat-value-2"&gt;&lt;/span&gt;&lt;/p&gt;</v>
      </c>
      <c r="V142" s="3" t="str">
        <f>"&lt;p class=""stat-row-2""&gt;&lt;span class=""stat-label-2""&gt;1v1s&lt;/span&gt;&lt;span class=""stat-value-2""&gt;"&amp;$I$16&amp;"&lt;/span&gt;&lt;/p&gt;"</f>
        <v>&lt;p class="stat-row-2"&gt;&lt;span class="stat-label-2"&gt;1v1s&lt;/span&gt;&lt;span class="stat-value-2"&gt;&lt;/span&gt;&lt;/p&gt;</v>
      </c>
      <c r="W142" s="3" t="str">
        <f>"&lt;p class=""stat-row-2""&gt;&lt;span class=""stat-label-2""&gt;1v1s&lt;/span&gt;&lt;span class=""stat-value-2""&gt;"&amp;$I$6&amp;"&lt;/span&gt;&lt;/p&gt;"</f>
        <v>&lt;p class="stat-row-2"&gt;&lt;span class="stat-label-2"&gt;1v1s&lt;/span&gt;&lt;span class="stat-value-2"&gt;&lt;/span&gt;&lt;/p&gt;</v>
      </c>
    </row>
    <row r="143" spans="1:23" x14ac:dyDescent="0.3">
      <c r="A143" s="3" t="str">
        <f>"&lt;p class=""stat-row-2""&gt;&lt;span class=""stat-label-2""&gt;Headers&lt;/span&gt;&lt;span class=""stat-value-2""&gt;"&amp;$J$4&amp;"&lt;/span&gt;&lt;/p&gt;"</f>
        <v>&lt;p class="stat-row-2"&gt;&lt;span class="stat-label-2"&gt;Headers&lt;/span&gt;&lt;span class="stat-value-2"&gt;&lt;/span&gt;&lt;/p&gt;</v>
      </c>
      <c r="B143" s="3" t="str">
        <f>"&lt;p class=""stat-row-2""&gt;&lt;span class=""stat-label-2""&gt;Headers&lt;/span&gt;&lt;span class=""stat-value-2""&gt;"&amp;$J$15&amp;"&lt;/span&gt;&lt;/p&gt;"</f>
        <v>&lt;p class="stat-row-2"&gt;&lt;span class="stat-label-2"&gt;Headers&lt;/span&gt;&lt;span class="stat-value-2"&gt;&lt;/span&gt;&lt;/p&gt;</v>
      </c>
      <c r="C143" s="3" t="str">
        <f>"&lt;p class=""stat-row-2""&gt;&lt;span class=""stat-label-2""&gt;Headers&lt;/span&gt;&lt;span class=""stat-value-2""&gt;"&amp;$J$9&amp;"&lt;/span&gt;&lt;/p&gt;"</f>
        <v>&lt;p class="stat-row-2"&gt;&lt;span class="stat-label-2"&gt;Headers&lt;/span&gt;&lt;span class="stat-value-2"&gt;&lt;/span&gt;&lt;/p&gt;</v>
      </c>
      <c r="D143" s="3" t="str">
        <f>"&lt;p class=""stat-row-2""&gt;&lt;span class=""stat-label-2""&gt;Headers&lt;/span&gt;&lt;span class=""stat-value-2""&gt;"&amp;$J$24&amp;"&lt;/span&gt;&lt;/p&gt;"</f>
        <v>&lt;p class="stat-row-2"&gt;&lt;span class="stat-label-2"&gt;Headers&lt;/span&gt;&lt;span class="stat-value-2"&gt;&lt;/span&gt;&lt;/p&gt;</v>
      </c>
      <c r="E143" s="3" t="str">
        <f>"&lt;p class=""stat-row-2""&gt;&lt;span class=""stat-label-2""&gt;Headers&lt;/span&gt;&lt;span class=""stat-value-2""&gt;"&amp;$J$12&amp;"&lt;/span&gt;&lt;/p&gt;"</f>
        <v>&lt;p class="stat-row-2"&gt;&lt;span class="stat-label-2"&gt;Headers&lt;/span&gt;&lt;span class="stat-value-2"&gt;&lt;/span&gt;&lt;/p&gt;</v>
      </c>
      <c r="F143" s="3" t="str">
        <f>"&lt;p class=""stat-row-2""&gt;&lt;span class=""stat-label-2""&gt;Headers&lt;/span&gt;&lt;span class=""stat-value-2""&gt;"&amp;$J$22&amp;"&lt;/span&gt;&lt;/p&gt;"</f>
        <v>&lt;p class="stat-row-2"&gt;&lt;span class="stat-label-2"&gt;Headers&lt;/span&gt;&lt;span class="stat-value-2"&gt;&lt;/span&gt;&lt;/p&gt;</v>
      </c>
      <c r="G143" s="3" t="str">
        <f>"&lt;p class=""stat-row-2""&gt;&lt;span class=""stat-label-2""&gt;Headers&lt;/span&gt;&lt;span class=""stat-value-2""&gt;"&amp;$J$3&amp;"&lt;/span&gt;&lt;/p&gt;"</f>
        <v>&lt;p class="stat-row-2"&gt;&lt;span class="stat-label-2"&gt;Headers&lt;/span&gt;&lt;span class="stat-value-2"&gt;&lt;/span&gt;&lt;/p&gt;</v>
      </c>
      <c r="H143" s="3" t="str">
        <f>"&lt;p class=""stat-row-2""&gt;&lt;span class=""stat-label-2""&gt;Headers&lt;/span&gt;&lt;span class=""stat-value-2""&gt;"&amp;$J$7&amp;"&lt;/span&gt;&lt;/p&gt;"</f>
        <v>&lt;p class="stat-row-2"&gt;&lt;span class="stat-label-2"&gt;Headers&lt;/span&gt;&lt;span class="stat-value-2"&gt;&lt;/span&gt;&lt;/p&gt;</v>
      </c>
      <c r="I143" s="3" t="str">
        <f>"&lt;p class=""stat-row-2""&gt;&lt;span class=""stat-label-2""&gt;Headers&lt;/span&gt;&lt;span class=""stat-value-2""&gt;"&amp;$J$8&amp;"&lt;/span&gt;&lt;/p&gt;"</f>
        <v>&lt;p class="stat-row-2"&gt;&lt;span class="stat-label-2"&gt;Headers&lt;/span&gt;&lt;span class="stat-value-2"&gt;&lt;/span&gt;&lt;/p&gt;</v>
      </c>
      <c r="J143" s="3" t="str">
        <f>"&lt;p class=""stat-row-2""&gt;&lt;span class=""stat-label-2""&gt;Headers&lt;/span&gt;&lt;span class=""stat-value-2""&gt;"&amp;$J$23&amp;"&lt;/span&gt;&lt;/p&gt;"</f>
        <v>&lt;p class="stat-row-2"&gt;&lt;span class="stat-label-2"&gt;Headers&lt;/span&gt;&lt;span class="stat-value-2"&gt;&lt;/span&gt;&lt;/p&gt;</v>
      </c>
      <c r="K143" s="3" t="str">
        <f>"&lt;p class=""stat-row-2""&gt;&lt;span class=""stat-label-2""&gt;Headers&lt;/span&gt;&lt;span class=""stat-value-2""&gt;"&amp;$J$20&amp;"&lt;/span&gt;&lt;/p&gt;"</f>
        <v>&lt;p class="stat-row-2"&gt;&lt;span class="stat-label-2"&gt;Headers&lt;/span&gt;&lt;span class="stat-value-2"&gt;&lt;/span&gt;&lt;/p&gt;</v>
      </c>
      <c r="L143" s="3" t="str">
        <f>"&lt;p class=""stat-row-2""&gt;&lt;span class=""stat-label-2""&gt;Headers&lt;/span&gt;&lt;span class=""stat-value-2""&gt;"&amp;$J$14&amp;"&lt;/span&gt;&lt;/p&gt;"</f>
        <v>&lt;p class="stat-row-2"&gt;&lt;span class="stat-label-2"&gt;Headers&lt;/span&gt;&lt;span class="stat-value-2"&gt;&lt;/span&gt;&lt;/p&gt;</v>
      </c>
      <c r="M143" s="3" t="str">
        <f>"&lt;p class=""stat-row-2""&gt;&lt;span class=""stat-label-2""&gt;Headers&lt;/span&gt;&lt;span class=""stat-value-2""&gt;"&amp;$J$21&amp;"&lt;/span&gt;&lt;/p&gt;"</f>
        <v>&lt;p class="stat-row-2"&gt;&lt;span class="stat-label-2"&gt;Headers&lt;/span&gt;&lt;span class="stat-value-2"&gt;&lt;/span&gt;&lt;/p&gt;</v>
      </c>
      <c r="N143" s="3" t="str">
        <f>"&lt;p class=""stat-row-2""&gt;&lt;span class=""stat-label-2""&gt;Headers&lt;/span&gt;&lt;span class=""stat-value-2""&gt;"&amp;$J$11&amp;"&lt;/span&gt;&lt;/p&gt;"</f>
        <v>&lt;p class="stat-row-2"&gt;&lt;span class="stat-label-2"&gt;Headers&lt;/span&gt;&lt;span class="stat-value-2"&gt;&lt;/span&gt;&lt;/p&gt;</v>
      </c>
      <c r="O143" s="3" t="str">
        <f>"&lt;p class=""stat-row-2""&gt;&lt;span class=""stat-label-2""&gt;Headers&lt;/span&gt;&lt;span class=""stat-value-2""&gt;"&amp;$J$13&amp;"&lt;/span&gt;&lt;/p&gt;"</f>
        <v>&lt;p class="stat-row-2"&gt;&lt;span class="stat-label-2"&gt;Headers&lt;/span&gt;&lt;span class="stat-value-2"&gt;&lt;/span&gt;&lt;/p&gt;</v>
      </c>
      <c r="P143" s="3" t="str">
        <f>"&lt;p class=""stat-row-2""&gt;&lt;span class=""stat-label-2""&gt;Headers&lt;/span&gt;&lt;span class=""stat-value-2""&gt;"&amp;$J$5&amp;"&lt;/span&gt;&lt;/p&gt;"</f>
        <v>&lt;p class="stat-row-2"&gt;&lt;span class="stat-label-2"&gt;Headers&lt;/span&gt;&lt;span class="stat-value-2"&gt;&lt;/span&gt;&lt;/p&gt;</v>
      </c>
      <c r="Q143" s="3" t="str">
        <f>"&lt;p class=""stat-row-2""&gt;&lt;span class=""stat-label-2""&gt;Headers&lt;/span&gt;&lt;span class=""stat-value-2""&gt;"&amp;$J$10&amp;"&lt;/span&gt;&lt;/p&gt;"</f>
        <v>&lt;p class="stat-row-2"&gt;&lt;span class="stat-label-2"&gt;Headers&lt;/span&gt;&lt;span class="stat-value-2"&gt;&lt;/span&gt;&lt;/p&gt;</v>
      </c>
      <c r="R143" s="3" t="str">
        <f>"&lt;p class=""stat-row-2""&gt;&lt;span class=""stat-label-2""&gt;Headers&lt;/span&gt;&lt;span class=""stat-value-2""&gt;"&amp;$J$2&amp;"&lt;/span&gt;&lt;/p&gt;"</f>
        <v>&lt;p class="stat-row-2"&gt;&lt;span class="stat-label-2"&gt;Headers&lt;/span&gt;&lt;span class="stat-value-2"&gt;&lt;/span&gt;&lt;/p&gt;</v>
      </c>
      <c r="S143" s="3" t="str">
        <f>"&lt;p class=""stat-row-2""&gt;&lt;span class=""stat-label-2""&gt;Headers&lt;/span&gt;&lt;span class=""stat-value-2""&gt;"&amp;$J$19&amp;"&lt;/span&gt;&lt;/p&gt;"</f>
        <v>&lt;p class="stat-row-2"&gt;&lt;span class="stat-label-2"&gt;Headers&lt;/span&gt;&lt;span class="stat-value-2"&gt;&lt;/span&gt;&lt;/p&gt;</v>
      </c>
      <c r="T143" s="3" t="str">
        <f>"&lt;p class=""stat-row-2""&gt;&lt;span class=""stat-label-2""&gt;Headers&lt;/span&gt;&lt;span class=""stat-value-2""&gt;"&amp;$J$17&amp;"&lt;/span&gt;&lt;/p&gt;"</f>
        <v>&lt;p class="stat-row-2"&gt;&lt;span class="stat-label-2"&gt;Headers&lt;/span&gt;&lt;span class="stat-value-2"&gt;&lt;/span&gt;&lt;/p&gt;</v>
      </c>
      <c r="U143" s="3" t="str">
        <f>"&lt;p class=""stat-row-2""&gt;&lt;span class=""stat-label-2""&gt;Headers&lt;/span&gt;&lt;span class=""stat-value-2""&gt;"&amp;$J$18&amp;"&lt;/span&gt;&lt;/p&gt;"</f>
        <v>&lt;p class="stat-row-2"&gt;&lt;span class="stat-label-2"&gt;Headers&lt;/span&gt;&lt;span class="stat-value-2"&gt;&lt;/span&gt;&lt;/p&gt;</v>
      </c>
      <c r="V143" s="3" t="str">
        <f>"&lt;p class=""stat-row-2""&gt;&lt;span class=""stat-label-2""&gt;Headers&lt;/span&gt;&lt;span class=""stat-value-2""&gt;"&amp;$J$16&amp;"&lt;/span&gt;&lt;/p&gt;"</f>
        <v>&lt;p class="stat-row-2"&gt;&lt;span class="stat-label-2"&gt;Headers&lt;/span&gt;&lt;span class="stat-value-2"&gt;&lt;/span&gt;&lt;/p&gt;</v>
      </c>
      <c r="W143" s="3" t="str">
        <f>"&lt;p class=""stat-row-2""&gt;&lt;span class=""stat-label-2""&gt;Headers&lt;/span&gt;&lt;span class=""stat-value-2""&gt;"&amp;$J$6&amp;"&lt;/span&gt;&lt;/p&gt;"</f>
        <v>&lt;p class="stat-row-2"&gt;&lt;span class="stat-label-2"&gt;Headers&lt;/span&gt;&lt;span class="stat-value-2"&gt;&lt;/span&gt;&lt;/p&gt;</v>
      </c>
    </row>
    <row r="144" spans="1:23" x14ac:dyDescent="0.3">
      <c r="A144" s="3" t="str">
        <f>"&lt;p class=""stat-row-2""&gt;&lt;span class=""stat-label-2""&gt;SP Earned&lt;/span&gt;&lt;span class=""stat-value-2""&gt;"&amp;$K$4&amp;"&lt;/span&gt;&lt;/p&gt;"</f>
        <v>&lt;p class="stat-row-2"&gt;&lt;span class="stat-label-2"&gt;SP Earned&lt;/span&gt;&lt;span class="stat-value-2"&gt;&lt;/span&gt;&lt;/p&gt;</v>
      </c>
      <c r="B144" s="3" t="str">
        <f>"&lt;p class=""stat-row-2""&gt;&lt;span class=""stat-label-2""&gt;SP Earned&lt;/span&gt;&lt;span class=""stat-value-2""&gt;"&amp;$K$15&amp;"&lt;/span&gt;&lt;/p&gt;"</f>
        <v>&lt;p class="stat-row-2"&gt;&lt;span class="stat-label-2"&gt;SP Earned&lt;/span&gt;&lt;span class="stat-value-2"&gt;&lt;/span&gt;&lt;/p&gt;</v>
      </c>
      <c r="C144" s="3" t="str">
        <f>"&lt;p class=""stat-row-2""&gt;&lt;span class=""stat-label-2""&gt;SP Earned&lt;/span&gt;&lt;span class=""stat-value-2""&gt;"&amp;$K$9&amp;"&lt;/span&gt;&lt;/p&gt;"</f>
        <v>&lt;p class="stat-row-2"&gt;&lt;span class="stat-label-2"&gt;SP Earned&lt;/span&gt;&lt;span class="stat-value-2"&gt;&lt;/span&gt;&lt;/p&gt;</v>
      </c>
      <c r="D144" s="3" t="str">
        <f>"&lt;p class=""stat-row-2""&gt;&lt;span class=""stat-label-2""&gt;SP Earned&lt;/span&gt;&lt;span class=""stat-value-2""&gt;"&amp;$K$24&amp;"&lt;/span&gt;&lt;/p&gt;"</f>
        <v>&lt;p class="stat-row-2"&gt;&lt;span class="stat-label-2"&gt;SP Earned&lt;/span&gt;&lt;span class="stat-value-2"&gt;&lt;/span&gt;&lt;/p&gt;</v>
      </c>
      <c r="E144" s="3" t="str">
        <f>"&lt;p class=""stat-row-2""&gt;&lt;span class=""stat-label-2""&gt;SP Earned&lt;/span&gt;&lt;span class=""stat-value-2""&gt;"&amp;$K$12&amp;"&lt;/span&gt;&lt;/p&gt;"</f>
        <v>&lt;p class="stat-row-2"&gt;&lt;span class="stat-label-2"&gt;SP Earned&lt;/span&gt;&lt;span class="stat-value-2"&gt;&lt;/span&gt;&lt;/p&gt;</v>
      </c>
      <c r="F144" s="3" t="str">
        <f>"&lt;p class=""stat-row-2""&gt;&lt;span class=""stat-label-2""&gt;SP Earned&lt;/span&gt;&lt;span class=""stat-value-2""&gt;"&amp;$K$22&amp;"&lt;/span&gt;&lt;/p&gt;"</f>
        <v>&lt;p class="stat-row-2"&gt;&lt;span class="stat-label-2"&gt;SP Earned&lt;/span&gt;&lt;span class="stat-value-2"&gt;&lt;/span&gt;&lt;/p&gt;</v>
      </c>
      <c r="G144" s="3" t="str">
        <f>"&lt;p class=""stat-row-2""&gt;&lt;span class=""stat-label-2""&gt;SP Earned&lt;/span&gt;&lt;span class=""stat-value-2""&gt;"&amp;$K$3&amp;"&lt;/span&gt;&lt;/p&gt;"</f>
        <v>&lt;p class="stat-row-2"&gt;&lt;span class="stat-label-2"&gt;SP Earned&lt;/span&gt;&lt;span class="stat-value-2"&gt;&lt;/span&gt;&lt;/p&gt;</v>
      </c>
      <c r="H144" s="3" t="str">
        <f>"&lt;p class=""stat-row-2""&gt;&lt;span class=""stat-label-2""&gt;SP Earned&lt;/span&gt;&lt;span class=""stat-value-2""&gt;"&amp;$K$7&amp;"&lt;/span&gt;&lt;/p&gt;"</f>
        <v>&lt;p class="stat-row-2"&gt;&lt;span class="stat-label-2"&gt;SP Earned&lt;/span&gt;&lt;span class="stat-value-2"&gt;&lt;/span&gt;&lt;/p&gt;</v>
      </c>
      <c r="I144" s="3" t="str">
        <f>"&lt;p class=""stat-row-2""&gt;&lt;span class=""stat-label-2""&gt;SP Earned&lt;/span&gt;&lt;span class=""stat-value-2""&gt;"&amp;$K$8&amp;"&lt;/span&gt;&lt;/p&gt;"</f>
        <v>&lt;p class="stat-row-2"&gt;&lt;span class="stat-label-2"&gt;SP Earned&lt;/span&gt;&lt;span class="stat-value-2"&gt;&lt;/span&gt;&lt;/p&gt;</v>
      </c>
      <c r="J144" s="3" t="str">
        <f>"&lt;p class=""stat-row-2""&gt;&lt;span class=""stat-label-2""&gt;SP Earned&lt;/span&gt;&lt;span class=""stat-value-2""&gt;"&amp;$K$23&amp;"&lt;/span&gt;&lt;/p&gt;"</f>
        <v>&lt;p class="stat-row-2"&gt;&lt;span class="stat-label-2"&gt;SP Earned&lt;/span&gt;&lt;span class="stat-value-2"&gt;&lt;/span&gt;&lt;/p&gt;</v>
      </c>
      <c r="K144" s="3" t="str">
        <f>"&lt;p class=""stat-row-2""&gt;&lt;span class=""stat-label-2""&gt;SP Earned&lt;/span&gt;&lt;span class=""stat-value-2""&gt;"&amp;$K$20&amp;"&lt;/span&gt;&lt;/p&gt;"</f>
        <v>&lt;p class="stat-row-2"&gt;&lt;span class="stat-label-2"&gt;SP Earned&lt;/span&gt;&lt;span class="stat-value-2"&gt;&lt;/span&gt;&lt;/p&gt;</v>
      </c>
      <c r="L144" s="3" t="str">
        <f>"&lt;p class=""stat-row-2""&gt;&lt;span class=""stat-label-2""&gt;SP Earned&lt;/span&gt;&lt;span class=""stat-value-2""&gt;"&amp;$K$14&amp;"&lt;/span&gt;&lt;/p&gt;"</f>
        <v>&lt;p class="stat-row-2"&gt;&lt;span class="stat-label-2"&gt;SP Earned&lt;/span&gt;&lt;span class="stat-value-2"&gt;&lt;/span&gt;&lt;/p&gt;</v>
      </c>
      <c r="M144" s="3" t="str">
        <f>"&lt;p class=""stat-row-2""&gt;&lt;span class=""stat-label-2""&gt;SP Earned&lt;/span&gt;&lt;span class=""stat-value-2""&gt;"&amp;$K$21&amp;"&lt;/span&gt;&lt;/p&gt;"</f>
        <v>&lt;p class="stat-row-2"&gt;&lt;span class="stat-label-2"&gt;SP Earned&lt;/span&gt;&lt;span class="stat-value-2"&gt;&lt;/span&gt;&lt;/p&gt;</v>
      </c>
      <c r="N144" s="3" t="str">
        <f>"&lt;p class=""stat-row-2""&gt;&lt;span class=""stat-label-2""&gt;SP Earned&lt;/span&gt;&lt;span class=""stat-value-2""&gt;"&amp;$K$11&amp;"&lt;/span&gt;&lt;/p&gt;"</f>
        <v>&lt;p class="stat-row-2"&gt;&lt;span class="stat-label-2"&gt;SP Earned&lt;/span&gt;&lt;span class="stat-value-2"&gt;&lt;/span&gt;&lt;/p&gt;</v>
      </c>
      <c r="O144" s="3" t="str">
        <f>"&lt;p class=""stat-row-2""&gt;&lt;span class=""stat-label-2""&gt;SP Earned&lt;/span&gt;&lt;span class=""stat-value-2""&gt;"&amp;$K$13&amp;"&lt;/span&gt;&lt;/p&gt;"</f>
        <v>&lt;p class="stat-row-2"&gt;&lt;span class="stat-label-2"&gt;SP Earned&lt;/span&gt;&lt;span class="stat-value-2"&gt;&lt;/span&gt;&lt;/p&gt;</v>
      </c>
      <c r="P144" s="3" t="str">
        <f>"&lt;p class=""stat-row-2""&gt;&lt;span class=""stat-label-2""&gt;SP Earned&lt;/span&gt;&lt;span class=""stat-value-2""&gt;"&amp;$K$5&amp;"&lt;/span&gt;&lt;/p&gt;"</f>
        <v>&lt;p class="stat-row-2"&gt;&lt;span class="stat-label-2"&gt;SP Earned&lt;/span&gt;&lt;span class="stat-value-2"&gt;&lt;/span&gt;&lt;/p&gt;</v>
      </c>
      <c r="Q144" s="3" t="str">
        <f>"&lt;p class=""stat-row-2""&gt;&lt;span class=""stat-label-2""&gt;SP Earned&lt;/span&gt;&lt;span class=""stat-value-2""&gt;"&amp;$K$10&amp;"&lt;/span&gt;&lt;/p&gt;"</f>
        <v>&lt;p class="stat-row-2"&gt;&lt;span class="stat-label-2"&gt;SP Earned&lt;/span&gt;&lt;span class="stat-value-2"&gt;&lt;/span&gt;&lt;/p&gt;</v>
      </c>
      <c r="R144" s="3" t="str">
        <f>"&lt;p class=""stat-row-2""&gt;&lt;span class=""stat-label-2""&gt;SP Earned&lt;/span&gt;&lt;span class=""stat-value-2""&gt;"&amp;$K$2&amp;"&lt;/span&gt;&lt;/p&gt;"</f>
        <v>&lt;p class="stat-row-2"&gt;&lt;span class="stat-label-2"&gt;SP Earned&lt;/span&gt;&lt;span class="stat-value-2"&gt;&lt;/span&gt;&lt;/p&gt;</v>
      </c>
      <c r="S144" s="3" t="str">
        <f>"&lt;p class=""stat-row-2""&gt;&lt;span class=""stat-label-2""&gt;SP Earned&lt;/span&gt;&lt;span class=""stat-value-2""&gt;"&amp;$K$19&amp;"&lt;/span&gt;&lt;/p&gt;"</f>
        <v>&lt;p class="stat-row-2"&gt;&lt;span class="stat-label-2"&gt;SP Earned&lt;/span&gt;&lt;span class="stat-value-2"&gt;&lt;/span&gt;&lt;/p&gt;</v>
      </c>
      <c r="T144" s="3" t="str">
        <f>"&lt;p class=""stat-row-2""&gt;&lt;span class=""stat-label-2""&gt;SP Earned&lt;/span&gt;&lt;span class=""stat-value-2""&gt;"&amp;$K$17&amp;"&lt;/span&gt;&lt;/p&gt;"</f>
        <v>&lt;p class="stat-row-2"&gt;&lt;span class="stat-label-2"&gt;SP Earned&lt;/span&gt;&lt;span class="stat-value-2"&gt;&lt;/span&gt;&lt;/p&gt;</v>
      </c>
      <c r="U144" s="3" t="str">
        <f>"&lt;p class=""stat-row-2""&gt;&lt;span class=""stat-label-2""&gt;SP Earned&lt;/span&gt;&lt;span class=""stat-value-2""&gt;"&amp;$K$18&amp;"&lt;/span&gt;&lt;/p&gt;"</f>
        <v>&lt;p class="stat-row-2"&gt;&lt;span class="stat-label-2"&gt;SP Earned&lt;/span&gt;&lt;span class="stat-value-2"&gt;&lt;/span&gt;&lt;/p&gt;</v>
      </c>
      <c r="V144" s="3" t="str">
        <f>"&lt;p class=""stat-row-2""&gt;&lt;span class=""stat-label-2""&gt;SP Earned&lt;/span&gt;&lt;span class=""stat-value-2""&gt;"&amp;$K$16&amp;"&lt;/span&gt;&lt;/p&gt;"</f>
        <v>&lt;p class="stat-row-2"&gt;&lt;span class="stat-label-2"&gt;SP Earned&lt;/span&gt;&lt;span class="stat-value-2"&gt;&lt;/span&gt;&lt;/p&gt;</v>
      </c>
      <c r="W144" s="3" t="str">
        <f>"&lt;p class=""stat-row-2""&gt;&lt;span class=""stat-label-2""&gt;SP Earned&lt;/span&gt;&lt;span class=""stat-value-2""&gt;"&amp;$K$6&amp;"&lt;/span&gt;&lt;/p&gt;"</f>
        <v>&lt;p class="stat-row-2"&gt;&lt;span class="stat-label-2"&gt;SP Earned&lt;/span&gt;&lt;span class="stat-value-2"&gt;&lt;/span&gt;&lt;/p&gt;</v>
      </c>
    </row>
    <row r="145" spans="1:23" x14ac:dyDescent="0.3">
      <c r="A145" s="3" t="str">
        <f>"&lt;p class=""stat-row-2""&gt;&lt;span class=""stat-label-2""&gt;On-Target Shots&lt;/span&gt;&lt;span class=""stat-value-2""&gt;"&amp;$M$4&amp;"&lt;/span&gt;&lt;/p&gt;"</f>
        <v>&lt;p class="stat-row-2"&gt;&lt;span class="stat-label-2"&gt;On-Target Shots&lt;/span&gt;&lt;span class="stat-value-2"&gt;&lt;/span&gt;&lt;/p&gt;</v>
      </c>
      <c r="B145" s="3" t="str">
        <f>"&lt;p class=""stat-row-2""&gt;&lt;span class=""stat-label-2""&gt;On-Target Shots&lt;/span&gt;&lt;span class=""stat-value-2""&gt;"&amp;$M$15&amp;"&lt;/span&gt;&lt;/p&gt;"</f>
        <v>&lt;p class="stat-row-2"&gt;&lt;span class="stat-label-2"&gt;On-Target Shots&lt;/span&gt;&lt;span class="stat-value-2"&gt;&lt;/span&gt;&lt;/p&gt;</v>
      </c>
      <c r="C145" s="3" t="str">
        <f>"&lt;p class=""stat-row-2""&gt;&lt;span class=""stat-label-2""&gt;On-Target Shots&lt;/span&gt;&lt;span class=""stat-value-2""&gt;"&amp;$M$9&amp;"&lt;/span&gt;&lt;/p&gt;"</f>
        <v>&lt;p class="stat-row-2"&gt;&lt;span class="stat-label-2"&gt;On-Target Shots&lt;/span&gt;&lt;span class="stat-value-2"&gt;&lt;/span&gt;&lt;/p&gt;</v>
      </c>
      <c r="D145" s="3" t="str">
        <f>"&lt;p class=""stat-row-2""&gt;&lt;span class=""stat-label-2""&gt;On-Target Shots&lt;/span&gt;&lt;span class=""stat-value-2""&gt;"&amp;$M$24&amp;"&lt;/span&gt;&lt;/p&gt;"</f>
        <v>&lt;p class="stat-row-2"&gt;&lt;span class="stat-label-2"&gt;On-Target Shots&lt;/span&gt;&lt;span class="stat-value-2"&gt;&lt;/span&gt;&lt;/p&gt;</v>
      </c>
      <c r="E145" s="3" t="str">
        <f>"&lt;p class=""stat-row-2""&gt;&lt;span class=""stat-label-2""&gt;On-Target Shots&lt;/span&gt;&lt;span class=""stat-value-2""&gt;"&amp;$M$12&amp;"&lt;/span&gt;&lt;/p&gt;"</f>
        <v>&lt;p class="stat-row-2"&gt;&lt;span class="stat-label-2"&gt;On-Target Shots&lt;/span&gt;&lt;span class="stat-value-2"&gt;&lt;/span&gt;&lt;/p&gt;</v>
      </c>
      <c r="F145" s="3" t="str">
        <f>"&lt;p class=""stat-row-2""&gt;&lt;span class=""stat-label-2""&gt;On-Target Shots&lt;/span&gt;&lt;span class=""stat-value-2""&gt;"&amp;$M$22&amp;"&lt;/span&gt;&lt;/p&gt;"</f>
        <v>&lt;p class="stat-row-2"&gt;&lt;span class="stat-label-2"&gt;On-Target Shots&lt;/span&gt;&lt;span class="stat-value-2"&gt;&lt;/span&gt;&lt;/p&gt;</v>
      </c>
      <c r="G145" s="3" t="str">
        <f>"&lt;p class=""stat-row-2""&gt;&lt;span class=""stat-label-2""&gt;On-Target Shots&lt;/span&gt;&lt;span class=""stat-value-2""&gt;"&amp;$M$3&amp;"&lt;/span&gt;&lt;/p&gt;"</f>
        <v>&lt;p class="stat-row-2"&gt;&lt;span class="stat-label-2"&gt;On-Target Shots&lt;/span&gt;&lt;span class="stat-value-2"&gt;&lt;/span&gt;&lt;/p&gt;</v>
      </c>
      <c r="H145" s="3" t="str">
        <f>"&lt;p class=""stat-row-2""&gt;&lt;span class=""stat-label-2""&gt;On-Target Shots&lt;/span&gt;&lt;span class=""stat-value-2""&gt;"&amp;$M$7&amp;"&lt;/span&gt;&lt;/p&gt;"</f>
        <v>&lt;p class="stat-row-2"&gt;&lt;span class="stat-label-2"&gt;On-Target Shots&lt;/span&gt;&lt;span class="stat-value-2"&gt;&lt;/span&gt;&lt;/p&gt;</v>
      </c>
      <c r="I145" s="3" t="str">
        <f>"&lt;p class=""stat-row-2""&gt;&lt;span class=""stat-label-2""&gt;On-Target Shots&lt;/span&gt;&lt;span class=""stat-value-2""&gt;"&amp;$M$8&amp;"&lt;/span&gt;&lt;/p&gt;"</f>
        <v>&lt;p class="stat-row-2"&gt;&lt;span class="stat-label-2"&gt;On-Target Shots&lt;/span&gt;&lt;span class="stat-value-2"&gt;&lt;/span&gt;&lt;/p&gt;</v>
      </c>
      <c r="J145" s="3" t="str">
        <f>"&lt;p class=""stat-row-2""&gt;&lt;span class=""stat-label-2""&gt;On-Target Shots&lt;/span&gt;&lt;span class=""stat-value-2""&gt;"&amp;$M$23&amp;"&lt;/span&gt;&lt;/p&gt;"</f>
        <v>&lt;p class="stat-row-2"&gt;&lt;span class="stat-label-2"&gt;On-Target Shots&lt;/span&gt;&lt;span class="stat-value-2"&gt;&lt;/span&gt;&lt;/p&gt;</v>
      </c>
      <c r="K145" s="3" t="str">
        <f>"&lt;p class=""stat-row-2""&gt;&lt;span class=""stat-label-2""&gt;On-Target Shots&lt;/span&gt;&lt;span class=""stat-value-2""&gt;"&amp;$M$20&amp;"&lt;/span&gt;&lt;/p&gt;"</f>
        <v>&lt;p class="stat-row-2"&gt;&lt;span class="stat-label-2"&gt;On-Target Shots&lt;/span&gt;&lt;span class="stat-value-2"&gt;&lt;/span&gt;&lt;/p&gt;</v>
      </c>
      <c r="L145" s="3" t="str">
        <f>"&lt;p class=""stat-row-2""&gt;&lt;span class=""stat-label-2""&gt;On-Target Shots&lt;/span&gt;&lt;span class=""stat-value-2""&gt;"&amp;$M$14&amp;"&lt;/span&gt;&lt;/p&gt;"</f>
        <v>&lt;p class="stat-row-2"&gt;&lt;span class="stat-label-2"&gt;On-Target Shots&lt;/span&gt;&lt;span class="stat-value-2"&gt;&lt;/span&gt;&lt;/p&gt;</v>
      </c>
      <c r="M145" s="3" t="str">
        <f>"&lt;p class=""stat-row-2""&gt;&lt;span class=""stat-label-2""&gt;On-Target Shots&lt;/span&gt;&lt;span class=""stat-value-2""&gt;"&amp;$M$21&amp;"&lt;/span&gt;&lt;/p&gt;"</f>
        <v>&lt;p class="stat-row-2"&gt;&lt;span class="stat-label-2"&gt;On-Target Shots&lt;/span&gt;&lt;span class="stat-value-2"&gt;&lt;/span&gt;&lt;/p&gt;</v>
      </c>
      <c r="N145" s="3" t="str">
        <f>"&lt;p class=""stat-row-2""&gt;&lt;span class=""stat-label-2""&gt;On-Target Shots&lt;/span&gt;&lt;span class=""stat-value-2""&gt;"&amp;$M$11&amp;"&lt;/span&gt;&lt;/p&gt;"</f>
        <v>&lt;p class="stat-row-2"&gt;&lt;span class="stat-label-2"&gt;On-Target Shots&lt;/span&gt;&lt;span class="stat-value-2"&gt;&lt;/span&gt;&lt;/p&gt;</v>
      </c>
      <c r="O145" s="3" t="str">
        <f>"&lt;p class=""stat-row-2""&gt;&lt;span class=""stat-label-2""&gt;On-Target Shots&lt;/span&gt;&lt;span class=""stat-value-2""&gt;"&amp;$M$13&amp;"&lt;/span&gt;&lt;/p&gt;"</f>
        <v>&lt;p class="stat-row-2"&gt;&lt;span class="stat-label-2"&gt;On-Target Shots&lt;/span&gt;&lt;span class="stat-value-2"&gt;&lt;/span&gt;&lt;/p&gt;</v>
      </c>
      <c r="P145" s="3" t="str">
        <f>"&lt;p class=""stat-row-2""&gt;&lt;span class=""stat-label-2""&gt;On-Target Shots&lt;/span&gt;&lt;span class=""stat-value-2""&gt;"&amp;$M$5&amp;"&lt;/span&gt;&lt;/p&gt;"</f>
        <v>&lt;p class="stat-row-2"&gt;&lt;span class="stat-label-2"&gt;On-Target Shots&lt;/span&gt;&lt;span class="stat-value-2"&gt;&lt;/span&gt;&lt;/p&gt;</v>
      </c>
      <c r="Q145" s="3" t="str">
        <f>"&lt;p class=""stat-row-2""&gt;&lt;span class=""stat-label-2""&gt;On-Target Shots&lt;/span&gt;&lt;span class=""stat-value-2""&gt;"&amp;$M$10&amp;"&lt;/span&gt;&lt;/p&gt;"</f>
        <v>&lt;p class="stat-row-2"&gt;&lt;span class="stat-label-2"&gt;On-Target Shots&lt;/span&gt;&lt;span class="stat-value-2"&gt;&lt;/span&gt;&lt;/p&gt;</v>
      </c>
      <c r="R145" s="3" t="str">
        <f>"&lt;p class=""stat-row-2""&gt;&lt;span class=""stat-label-2""&gt;On-Target Shots&lt;/span&gt;&lt;span class=""stat-value-2""&gt;"&amp;$M$2&amp;"&lt;/span&gt;&lt;/p&gt;"</f>
        <v>&lt;p class="stat-row-2"&gt;&lt;span class="stat-label-2"&gt;On-Target Shots&lt;/span&gt;&lt;span class="stat-value-2"&gt;&lt;/span&gt;&lt;/p&gt;</v>
      </c>
      <c r="S145" s="3" t="str">
        <f>"&lt;p class=""stat-row-2""&gt;&lt;span class=""stat-label-2""&gt;On-Target Shots&lt;/span&gt;&lt;span class=""stat-value-2""&gt;"&amp;$M$19&amp;"&lt;/span&gt;&lt;/p&gt;"</f>
        <v>&lt;p class="stat-row-2"&gt;&lt;span class="stat-label-2"&gt;On-Target Shots&lt;/span&gt;&lt;span class="stat-value-2"&gt;&lt;/span&gt;&lt;/p&gt;</v>
      </c>
      <c r="T145" s="3" t="str">
        <f>"&lt;p class=""stat-row-2""&gt;&lt;span class=""stat-label-2""&gt;On-Target Shots&lt;/span&gt;&lt;span class=""stat-value-2""&gt;"&amp;$M$17&amp;"&lt;/span&gt;&lt;/p&gt;"</f>
        <v>&lt;p class="stat-row-2"&gt;&lt;span class="stat-label-2"&gt;On-Target Shots&lt;/span&gt;&lt;span class="stat-value-2"&gt;&lt;/span&gt;&lt;/p&gt;</v>
      </c>
      <c r="U145" s="3" t="str">
        <f>"&lt;p class=""stat-row-2""&gt;&lt;span class=""stat-label-2""&gt;On-Target Shots&lt;/span&gt;&lt;span class=""stat-value-2""&gt;"&amp;$M$18&amp;"&lt;/span&gt;&lt;/p&gt;"</f>
        <v>&lt;p class="stat-row-2"&gt;&lt;span class="stat-label-2"&gt;On-Target Shots&lt;/span&gt;&lt;span class="stat-value-2"&gt;&lt;/span&gt;&lt;/p&gt;</v>
      </c>
      <c r="V145" s="3" t="str">
        <f>"&lt;p class=""stat-row-2""&gt;&lt;span class=""stat-label-2""&gt;On-Target Shots&lt;/span&gt;&lt;span class=""stat-value-2""&gt;"&amp;$M$16&amp;"&lt;/span&gt;&lt;/p&gt;"</f>
        <v>&lt;p class="stat-row-2"&gt;&lt;span class="stat-label-2"&gt;On-Target Shots&lt;/span&gt;&lt;span class="stat-value-2"&gt;&lt;/span&gt;&lt;/p&gt;</v>
      </c>
      <c r="W145" s="3" t="str">
        <f>"&lt;p class=""stat-row-2""&gt;&lt;span class=""stat-label-2""&gt;On-Target Shots&lt;/span&gt;&lt;span class=""stat-value-2""&gt;"&amp;$M$6&amp;"&lt;/span&gt;&lt;/p&gt;"</f>
        <v>&lt;p class="stat-row-2"&gt;&lt;span class="stat-label-2"&gt;On-Target Shots&lt;/span&gt;&lt;span class="stat-value-2"&gt;&lt;/span&gt;&lt;/p&gt;</v>
      </c>
    </row>
    <row r="146" spans="1:23" x14ac:dyDescent="0.3">
      <c r="A146" s="3" t="str">
        <f>"&lt;p class=""stat-row-2""&gt;&lt;span class=""stat-label-2""&gt;Off-Target Shots&lt;/span&gt;&lt;span class=""stat-value-2""&gt;"&amp;$L$4&amp;"&lt;/span&gt;&lt;/p&gt;"</f>
        <v>&lt;p class="stat-row-2"&gt;&lt;span class="stat-label-2"&gt;Off-Target Shots&lt;/span&gt;&lt;span class="stat-value-2"&gt;&lt;/span&gt;&lt;/p&gt;</v>
      </c>
      <c r="B146" s="3" t="str">
        <f>"&lt;p class=""stat-row-2""&gt;&lt;span class=""stat-label-2""&gt;Off-Target Shots&lt;/span&gt;&lt;span class=""stat-value-2""&gt;"&amp;$L$15&amp;"&lt;/span&gt;&lt;/p&gt;"</f>
        <v>&lt;p class="stat-row-2"&gt;&lt;span class="stat-label-2"&gt;Off-Target Shots&lt;/span&gt;&lt;span class="stat-value-2"&gt;&lt;/span&gt;&lt;/p&gt;</v>
      </c>
      <c r="C146" s="3" t="str">
        <f>"&lt;p class=""stat-row-2""&gt;&lt;span class=""stat-label-2""&gt;Off-Target Shots&lt;/span&gt;&lt;span class=""stat-value-2""&gt;"&amp;$L$9&amp;"&lt;/span&gt;&lt;/p&gt;"</f>
        <v>&lt;p class="stat-row-2"&gt;&lt;span class="stat-label-2"&gt;Off-Target Shots&lt;/span&gt;&lt;span class="stat-value-2"&gt;&lt;/span&gt;&lt;/p&gt;</v>
      </c>
      <c r="D146" s="3" t="str">
        <f>"&lt;p class=""stat-row-2""&gt;&lt;span class=""stat-label-2""&gt;Off-Target Shots&lt;/span&gt;&lt;span class=""stat-value-2""&gt;"&amp;$L$24&amp;"&lt;/span&gt;&lt;/p&gt;"</f>
        <v>&lt;p class="stat-row-2"&gt;&lt;span class="stat-label-2"&gt;Off-Target Shots&lt;/span&gt;&lt;span class="stat-value-2"&gt;&lt;/span&gt;&lt;/p&gt;</v>
      </c>
      <c r="E146" s="3" t="str">
        <f>"&lt;p class=""stat-row-2""&gt;&lt;span class=""stat-label-2""&gt;Off-Target Shots&lt;/span&gt;&lt;span class=""stat-value-2""&gt;"&amp;$L$12&amp;"&lt;/span&gt;&lt;/p&gt;"</f>
        <v>&lt;p class="stat-row-2"&gt;&lt;span class="stat-label-2"&gt;Off-Target Shots&lt;/span&gt;&lt;span class="stat-value-2"&gt;&lt;/span&gt;&lt;/p&gt;</v>
      </c>
      <c r="F146" s="3" t="str">
        <f>"&lt;p class=""stat-row-2""&gt;&lt;span class=""stat-label-2""&gt;Off-Target Shots&lt;/span&gt;&lt;span class=""stat-value-2""&gt;"&amp;$L$22&amp;"&lt;/span&gt;&lt;/p&gt;"</f>
        <v>&lt;p class="stat-row-2"&gt;&lt;span class="stat-label-2"&gt;Off-Target Shots&lt;/span&gt;&lt;span class="stat-value-2"&gt;&lt;/span&gt;&lt;/p&gt;</v>
      </c>
      <c r="G146" s="3" t="str">
        <f>"&lt;p class=""stat-row-2""&gt;&lt;span class=""stat-label-2""&gt;Off-Target Shots&lt;/span&gt;&lt;span class=""stat-value-2""&gt;"&amp;$L$3&amp;"&lt;/span&gt;&lt;/p&gt;"</f>
        <v>&lt;p class="stat-row-2"&gt;&lt;span class="stat-label-2"&gt;Off-Target Shots&lt;/span&gt;&lt;span class="stat-value-2"&gt;&lt;/span&gt;&lt;/p&gt;</v>
      </c>
      <c r="H146" s="3" t="str">
        <f>"&lt;p class=""stat-row-2""&gt;&lt;span class=""stat-label-2""&gt;Off-Target Shots&lt;/span&gt;&lt;span class=""stat-value-2""&gt;"&amp;$L$7&amp;"&lt;/span&gt;&lt;/p&gt;"</f>
        <v>&lt;p class="stat-row-2"&gt;&lt;span class="stat-label-2"&gt;Off-Target Shots&lt;/span&gt;&lt;span class="stat-value-2"&gt;&lt;/span&gt;&lt;/p&gt;</v>
      </c>
      <c r="I146" s="3" t="str">
        <f>"&lt;p class=""stat-row-2""&gt;&lt;span class=""stat-label-2""&gt;Off-Target Shots&lt;/span&gt;&lt;span class=""stat-value-2""&gt;"&amp;$L$8&amp;"&lt;/span&gt;&lt;/p&gt;"</f>
        <v>&lt;p class="stat-row-2"&gt;&lt;span class="stat-label-2"&gt;Off-Target Shots&lt;/span&gt;&lt;span class="stat-value-2"&gt;&lt;/span&gt;&lt;/p&gt;</v>
      </c>
      <c r="J146" s="3" t="str">
        <f>"&lt;p class=""stat-row-2""&gt;&lt;span class=""stat-label-2""&gt;Off-Target Shots&lt;/span&gt;&lt;span class=""stat-value-2""&gt;"&amp;$L$23&amp;"&lt;/span&gt;&lt;/p&gt;"</f>
        <v>&lt;p class="stat-row-2"&gt;&lt;span class="stat-label-2"&gt;Off-Target Shots&lt;/span&gt;&lt;span class="stat-value-2"&gt;&lt;/span&gt;&lt;/p&gt;</v>
      </c>
      <c r="K146" s="3" t="str">
        <f>"&lt;p class=""stat-row-2""&gt;&lt;span class=""stat-label-2""&gt;Off-Target Shots&lt;/span&gt;&lt;span class=""stat-value-2""&gt;"&amp;$L$20&amp;"&lt;/span&gt;&lt;/p&gt;"</f>
        <v>&lt;p class="stat-row-2"&gt;&lt;span class="stat-label-2"&gt;Off-Target Shots&lt;/span&gt;&lt;span class="stat-value-2"&gt;&lt;/span&gt;&lt;/p&gt;</v>
      </c>
      <c r="L146" s="3" t="str">
        <f>"&lt;p class=""stat-row-2""&gt;&lt;span class=""stat-label-2""&gt;Off-Target Shots&lt;/span&gt;&lt;span class=""stat-value-2""&gt;"&amp;$L$14&amp;"&lt;/span&gt;&lt;/p&gt;"</f>
        <v>&lt;p class="stat-row-2"&gt;&lt;span class="stat-label-2"&gt;Off-Target Shots&lt;/span&gt;&lt;span class="stat-value-2"&gt;&lt;/span&gt;&lt;/p&gt;</v>
      </c>
      <c r="M146" s="3" t="str">
        <f>"&lt;p class=""stat-row-2""&gt;&lt;span class=""stat-label-2""&gt;Off-Target Shots&lt;/span&gt;&lt;span class=""stat-value-2""&gt;"&amp;$L$21&amp;"&lt;/span&gt;&lt;/p&gt;"</f>
        <v>&lt;p class="stat-row-2"&gt;&lt;span class="stat-label-2"&gt;Off-Target Shots&lt;/span&gt;&lt;span class="stat-value-2"&gt;&lt;/span&gt;&lt;/p&gt;</v>
      </c>
      <c r="N146" s="3" t="str">
        <f>"&lt;p class=""stat-row-2""&gt;&lt;span class=""stat-label-2""&gt;Off-Target Shots&lt;/span&gt;&lt;span class=""stat-value-2""&gt;"&amp;$L$11&amp;"&lt;/span&gt;&lt;/p&gt;"</f>
        <v>&lt;p class="stat-row-2"&gt;&lt;span class="stat-label-2"&gt;Off-Target Shots&lt;/span&gt;&lt;span class="stat-value-2"&gt;&lt;/span&gt;&lt;/p&gt;</v>
      </c>
      <c r="O146" s="3" t="str">
        <f>"&lt;p class=""stat-row-2""&gt;&lt;span class=""stat-label-2""&gt;Off-Target Shots&lt;/span&gt;&lt;span class=""stat-value-2""&gt;"&amp;$L$13&amp;"&lt;/span&gt;&lt;/p&gt;"</f>
        <v>&lt;p class="stat-row-2"&gt;&lt;span class="stat-label-2"&gt;Off-Target Shots&lt;/span&gt;&lt;span class="stat-value-2"&gt;&lt;/span&gt;&lt;/p&gt;</v>
      </c>
      <c r="P146" s="3" t="str">
        <f>"&lt;p class=""stat-row-2""&gt;&lt;span class=""stat-label-2""&gt;Off-Target Shots&lt;/span&gt;&lt;span class=""stat-value-2""&gt;"&amp;$L$5&amp;"&lt;/span&gt;&lt;/p&gt;"</f>
        <v>&lt;p class="stat-row-2"&gt;&lt;span class="stat-label-2"&gt;Off-Target Shots&lt;/span&gt;&lt;span class="stat-value-2"&gt;&lt;/span&gt;&lt;/p&gt;</v>
      </c>
      <c r="Q146" s="3" t="str">
        <f>"&lt;p class=""stat-row-2""&gt;&lt;span class=""stat-label-2""&gt;Off-Target Shots&lt;/span&gt;&lt;span class=""stat-value-2""&gt;"&amp;$L$10&amp;"&lt;/span&gt;&lt;/p&gt;"</f>
        <v>&lt;p class="stat-row-2"&gt;&lt;span class="stat-label-2"&gt;Off-Target Shots&lt;/span&gt;&lt;span class="stat-value-2"&gt;&lt;/span&gt;&lt;/p&gt;</v>
      </c>
      <c r="R146" s="3" t="str">
        <f>"&lt;p class=""stat-row-2""&gt;&lt;span class=""stat-label-2""&gt;Off-Target Shots&lt;/span&gt;&lt;span class=""stat-value-2""&gt;"&amp;$L$2&amp;"&lt;/span&gt;&lt;/p&gt;"</f>
        <v>&lt;p class="stat-row-2"&gt;&lt;span class="stat-label-2"&gt;Off-Target Shots&lt;/span&gt;&lt;span class="stat-value-2"&gt;&lt;/span&gt;&lt;/p&gt;</v>
      </c>
      <c r="S146" s="3" t="str">
        <f>"&lt;p class=""stat-row-2""&gt;&lt;span class=""stat-label-2""&gt;Off-Target Shots&lt;/span&gt;&lt;span class=""stat-value-2""&gt;"&amp;$L$19&amp;"&lt;/span&gt;&lt;/p&gt;"</f>
        <v>&lt;p class="stat-row-2"&gt;&lt;span class="stat-label-2"&gt;Off-Target Shots&lt;/span&gt;&lt;span class="stat-value-2"&gt;&lt;/span&gt;&lt;/p&gt;</v>
      </c>
      <c r="T146" s="3" t="str">
        <f>"&lt;p class=""stat-row-2""&gt;&lt;span class=""stat-label-2""&gt;Off-Target Shots&lt;/span&gt;&lt;span class=""stat-value-2""&gt;"&amp;$L$17&amp;"&lt;/span&gt;&lt;/p&gt;"</f>
        <v>&lt;p class="stat-row-2"&gt;&lt;span class="stat-label-2"&gt;Off-Target Shots&lt;/span&gt;&lt;span class="stat-value-2"&gt;&lt;/span&gt;&lt;/p&gt;</v>
      </c>
      <c r="U146" s="3" t="str">
        <f>"&lt;p class=""stat-row-2""&gt;&lt;span class=""stat-label-2""&gt;Off-Target Shots&lt;/span&gt;&lt;span class=""stat-value-2""&gt;"&amp;$L$18&amp;"&lt;/span&gt;&lt;/p&gt;"</f>
        <v>&lt;p class="stat-row-2"&gt;&lt;span class="stat-label-2"&gt;Off-Target Shots&lt;/span&gt;&lt;span class="stat-value-2"&gt;&lt;/span&gt;&lt;/p&gt;</v>
      </c>
      <c r="V146" s="3" t="str">
        <f>"&lt;p class=""stat-row-2""&gt;&lt;span class=""stat-label-2""&gt;Off-Target Shots&lt;/span&gt;&lt;span class=""stat-value-2""&gt;"&amp;$L$16&amp;"&lt;/span&gt;&lt;/p&gt;"</f>
        <v>&lt;p class="stat-row-2"&gt;&lt;span class="stat-label-2"&gt;Off-Target Shots&lt;/span&gt;&lt;span class="stat-value-2"&gt;&lt;/span&gt;&lt;/p&gt;</v>
      </c>
      <c r="W146" s="3" t="str">
        <f>"&lt;p class=""stat-row-2""&gt;&lt;span class=""stat-label-2""&gt;Off-Target Shots&lt;/span&gt;&lt;span class=""stat-value-2""&gt;"&amp;$L$6&amp;"&lt;/span&gt;&lt;/p&gt;"</f>
        <v>&lt;p class="stat-row-2"&gt;&lt;span class="stat-label-2"&gt;Off-Target Shots&lt;/span&gt;&lt;span class="stat-value-2"&gt;&lt;/span&gt;&lt;/p&gt;</v>
      </c>
    </row>
    <row r="148" spans="1:23" x14ac:dyDescent="0.3">
      <c r="A148" s="3" t="str">
        <f>"&lt;p class=""stat-row-2""&gt;&lt;span class=""stat-label-2""&gt;Total Actions&lt;/span&gt;&lt;span class=""stat-value-2""&gt;"&amp;$X$4&amp;"&lt;/span&gt;&lt;/p&gt;"</f>
        <v>&lt;p class="stat-row-2"&gt;&lt;span class="stat-label-2"&gt;Total Actions&lt;/span&gt;&lt;span class="stat-value-2"&gt;&lt;/span&gt;&lt;/p&gt;</v>
      </c>
      <c r="B148" s="3" t="str">
        <f>"&lt;p class=""stat-row-2""&gt;&lt;span class=""stat-label-2""&gt;Total Actions&lt;/span&gt;&lt;span class=""stat-value-2""&gt;"&amp;$X$15&amp;"&lt;/span&gt;&lt;/p&gt;"</f>
        <v>&lt;p class="stat-row-2"&gt;&lt;span class="stat-label-2"&gt;Total Actions&lt;/span&gt;&lt;span class="stat-value-2"&gt;&lt;/span&gt;&lt;/p&gt;</v>
      </c>
      <c r="C148" s="3" t="str">
        <f>"&lt;p class=""stat-row-2""&gt;&lt;span class=""stat-label-2""&gt;Total Actions&lt;/span&gt;&lt;span class=""stat-value-2""&gt;"&amp;$X$9&amp;"&lt;/span&gt;&lt;/p&gt;"</f>
        <v>&lt;p class="stat-row-2"&gt;&lt;span class="stat-label-2"&gt;Total Actions&lt;/span&gt;&lt;span class="stat-value-2"&gt;&lt;/span&gt;&lt;/p&gt;</v>
      </c>
      <c r="D148" s="3" t="str">
        <f>"&lt;p class=""stat-row-2""&gt;&lt;span class=""stat-label-2""&gt;Total Actions&lt;/span&gt;&lt;span class=""stat-value-2""&gt;"&amp;$X$24&amp;"&lt;/span&gt;&lt;/p&gt;"</f>
        <v>&lt;p class="stat-row-2"&gt;&lt;span class="stat-label-2"&gt;Total Actions&lt;/span&gt;&lt;span class="stat-value-2"&gt;&lt;/span&gt;&lt;/p&gt;</v>
      </c>
      <c r="E148" s="3" t="str">
        <f>"&lt;p class=""stat-row-2""&gt;&lt;span class=""stat-label-2""&gt;Total Actions&lt;/span&gt;&lt;span class=""stat-value-2""&gt;"&amp;$X$12&amp;"&lt;/span&gt;&lt;/p&gt;"</f>
        <v>&lt;p class="stat-row-2"&gt;&lt;span class="stat-label-2"&gt;Total Actions&lt;/span&gt;&lt;span class="stat-value-2"&gt;&lt;/span&gt;&lt;/p&gt;</v>
      </c>
      <c r="F148" s="3" t="str">
        <f>"&lt;p class=""stat-row-2""&gt;&lt;span class=""stat-label-2""&gt;Total Actions&lt;/span&gt;&lt;span class=""stat-value-2""&gt;"&amp;$X$22&amp;"&lt;/span&gt;&lt;/p&gt;"</f>
        <v>&lt;p class="stat-row-2"&gt;&lt;span class="stat-label-2"&gt;Total Actions&lt;/span&gt;&lt;span class="stat-value-2"&gt;&lt;/span&gt;&lt;/p&gt;</v>
      </c>
      <c r="G148" s="3" t="str">
        <f>"&lt;p class=""stat-row-2""&gt;&lt;span class=""stat-label-2""&gt;Total Actions&lt;/span&gt;&lt;span class=""stat-value-2""&gt;"&amp;$X$3&amp;"&lt;/span&gt;&lt;/p&gt;"</f>
        <v>&lt;p class="stat-row-2"&gt;&lt;span class="stat-label-2"&gt;Total Actions&lt;/span&gt;&lt;span class="stat-value-2"&gt;&lt;/span&gt;&lt;/p&gt;</v>
      </c>
      <c r="H148" s="3" t="str">
        <f>"&lt;p class=""stat-row-2""&gt;&lt;span class=""stat-label-2""&gt;Total Actions&lt;/span&gt;&lt;span class=""stat-value-2""&gt;"&amp;$X$7&amp;"&lt;/span&gt;&lt;/p&gt;"</f>
        <v>&lt;p class="stat-row-2"&gt;&lt;span class="stat-label-2"&gt;Total Actions&lt;/span&gt;&lt;span class="stat-value-2"&gt;&lt;/span&gt;&lt;/p&gt;</v>
      </c>
      <c r="I148" s="3" t="str">
        <f>"&lt;p class=""stat-row-2""&gt;&lt;span class=""stat-label-2""&gt;Total Actions&lt;/span&gt;&lt;span class=""stat-value-2""&gt;"&amp;$X$8&amp;"&lt;/span&gt;&lt;/p&gt;"</f>
        <v>&lt;p class="stat-row-2"&gt;&lt;span class="stat-label-2"&gt;Total Actions&lt;/span&gt;&lt;span class="stat-value-2"&gt;&lt;/span&gt;&lt;/p&gt;</v>
      </c>
      <c r="J148" s="3" t="str">
        <f>"&lt;p class=""stat-row-2""&gt;&lt;span class=""stat-label-2""&gt;Total Actions&lt;/span&gt;&lt;span class=""stat-value-2""&gt;"&amp;$X$23&amp;"&lt;/span&gt;&lt;/p&gt;"</f>
        <v>&lt;p class="stat-row-2"&gt;&lt;span class="stat-label-2"&gt;Total Actions&lt;/span&gt;&lt;span class="stat-value-2"&gt;&lt;/span&gt;&lt;/p&gt;</v>
      </c>
      <c r="K148" s="3" t="str">
        <f>"&lt;p class=""stat-row-2""&gt;&lt;span class=""stat-label-2""&gt;Total Actions&lt;/span&gt;&lt;span class=""stat-value-2""&gt;"&amp;$X$20&amp;"&lt;/span&gt;&lt;/p&gt;"</f>
        <v>&lt;p class="stat-row-2"&gt;&lt;span class="stat-label-2"&gt;Total Actions&lt;/span&gt;&lt;span class="stat-value-2"&gt;&lt;/span&gt;&lt;/p&gt;</v>
      </c>
      <c r="L148" s="3" t="str">
        <f>"&lt;p class=""stat-row-2""&gt;&lt;span class=""stat-label-2""&gt;Total Actions&lt;/span&gt;&lt;span class=""stat-value-2""&gt;"&amp;$X$14&amp;"&lt;/span&gt;&lt;/p&gt;"</f>
        <v>&lt;p class="stat-row-2"&gt;&lt;span class="stat-label-2"&gt;Total Actions&lt;/span&gt;&lt;span class="stat-value-2"&gt;&lt;/span&gt;&lt;/p&gt;</v>
      </c>
      <c r="M148" s="3" t="str">
        <f>"&lt;p class=""stat-row-2""&gt;&lt;span class=""stat-label-2""&gt;Total Actions&lt;/span&gt;&lt;span class=""stat-value-2""&gt;"&amp;$X$21&amp;"&lt;/span&gt;&lt;/p&gt;"</f>
        <v>&lt;p class="stat-row-2"&gt;&lt;span class="stat-label-2"&gt;Total Actions&lt;/span&gt;&lt;span class="stat-value-2"&gt;&lt;/span&gt;&lt;/p&gt;</v>
      </c>
      <c r="N148" s="3" t="str">
        <f>"&lt;p class=""stat-row-2""&gt;&lt;span class=""stat-label-2""&gt;Total Actions&lt;/span&gt;&lt;span class=""stat-value-2""&gt;"&amp;$X$11&amp;"&lt;/span&gt;&lt;/p&gt;"</f>
        <v>&lt;p class="stat-row-2"&gt;&lt;span class="stat-label-2"&gt;Total Actions&lt;/span&gt;&lt;span class="stat-value-2"&gt;&lt;/span&gt;&lt;/p&gt;</v>
      </c>
      <c r="O148" s="3" t="str">
        <f>"&lt;p class=""stat-row-2""&gt;&lt;span class=""stat-label-2""&gt;Total Actions&lt;/span&gt;&lt;span class=""stat-value-2""&gt;"&amp;$X$13&amp;"&lt;/span&gt;&lt;/p&gt;"</f>
        <v>&lt;p class="stat-row-2"&gt;&lt;span class="stat-label-2"&gt;Total Actions&lt;/span&gt;&lt;span class="stat-value-2"&gt;&lt;/span&gt;&lt;/p&gt;</v>
      </c>
      <c r="P148" s="3" t="str">
        <f>"&lt;p class=""stat-row-2""&gt;&lt;span class=""stat-label-2""&gt;Total Actions&lt;/span&gt;&lt;span class=""stat-value-2""&gt;"&amp;$X$5&amp;"&lt;/span&gt;&lt;/p&gt;"</f>
        <v>&lt;p class="stat-row-2"&gt;&lt;span class="stat-label-2"&gt;Total Actions&lt;/span&gt;&lt;span class="stat-value-2"&gt;&lt;/span&gt;&lt;/p&gt;</v>
      </c>
      <c r="Q148" s="3" t="str">
        <f>"&lt;p class=""stat-row-2""&gt;&lt;span class=""stat-label-2""&gt;Total Actions&lt;/span&gt;&lt;span class=""stat-value-2""&gt;"&amp;$X$10&amp;"&lt;/span&gt;&lt;/p&gt;"</f>
        <v>&lt;p class="stat-row-2"&gt;&lt;span class="stat-label-2"&gt;Total Actions&lt;/span&gt;&lt;span class="stat-value-2"&gt;&lt;/span&gt;&lt;/p&gt;</v>
      </c>
      <c r="R148" s="3" t="str">
        <f>"&lt;p class=""stat-row-2""&gt;&lt;span class=""stat-label-2""&gt;Total Actions&lt;/span&gt;&lt;span class=""stat-value-2""&gt;"&amp;$X$2&amp;"&lt;/span&gt;&lt;/p&gt;"</f>
        <v>&lt;p class="stat-row-2"&gt;&lt;span class="stat-label-2"&gt;Total Actions&lt;/span&gt;&lt;span class="stat-value-2"&gt;&lt;/span&gt;&lt;/p&gt;</v>
      </c>
      <c r="S148" s="3" t="str">
        <f>"&lt;p class=""stat-row-2""&gt;&lt;span class=""stat-label-2""&gt;Total Actions&lt;/span&gt;&lt;span class=""stat-value-2""&gt;"&amp;$X$19&amp;"&lt;/span&gt;&lt;/p&gt;"</f>
        <v>&lt;p class="stat-row-2"&gt;&lt;span class="stat-label-2"&gt;Total Actions&lt;/span&gt;&lt;span class="stat-value-2"&gt;&lt;/span&gt;&lt;/p&gt;</v>
      </c>
      <c r="T148" s="3" t="str">
        <f>"&lt;p class=""stat-row-2""&gt;&lt;span class=""stat-label-2""&gt;Total Actions&lt;/span&gt;&lt;span class=""stat-value-2""&gt;"&amp;$X$17&amp;"&lt;/span&gt;&lt;/p&gt;"</f>
        <v>&lt;p class="stat-row-2"&gt;&lt;span class="stat-label-2"&gt;Total Actions&lt;/span&gt;&lt;span class="stat-value-2"&gt;&lt;/span&gt;&lt;/p&gt;</v>
      </c>
      <c r="U148" s="3" t="str">
        <f>"&lt;p class=""stat-row-2""&gt;&lt;span class=""stat-label-2""&gt;Total Actions&lt;/span&gt;&lt;span class=""stat-value-2""&gt;"&amp;$X$18&amp;"&lt;/span&gt;&lt;/p&gt;"</f>
        <v>&lt;p class="stat-row-2"&gt;&lt;span class="stat-label-2"&gt;Total Actions&lt;/span&gt;&lt;span class="stat-value-2"&gt;&lt;/span&gt;&lt;/p&gt;</v>
      </c>
      <c r="V148" s="3" t="str">
        <f>"&lt;p class=""stat-row-2""&gt;&lt;span class=""stat-label-2""&gt;Total Actions&lt;/span&gt;&lt;span class=""stat-value-2""&gt;"&amp;$X$16&amp;"&lt;/span&gt;&lt;/p&gt;"</f>
        <v>&lt;p class="stat-row-2"&gt;&lt;span class="stat-label-2"&gt;Total Actions&lt;/span&gt;&lt;span class="stat-value-2"&gt;&lt;/span&gt;&lt;/p&gt;</v>
      </c>
      <c r="W148" s="3" t="str">
        <f>"&lt;p class=""stat-row-2""&gt;&lt;span class=""stat-label-2""&gt;Total Actions&lt;/span&gt;&lt;span class=""stat-value-2""&gt;"&amp;$X$6&amp;"&lt;/span&gt;&lt;/p&gt;"</f>
        <v>&lt;p class="stat-row-2"&gt;&lt;span class="stat-label-2"&gt;Total Actions&lt;/span&gt;&lt;span class="stat-value-2"&gt;&lt;/span&gt;&lt;/p&gt;</v>
      </c>
    </row>
    <row r="149" spans="1:23" x14ac:dyDescent="0.3">
      <c r="A149" s="3" t="str">
        <f>"&lt;p class=""stat-row-2""&gt;&lt;span class=""stat-label-2""&gt;Actions / Min&lt;/span&gt;&lt;span class=""stat-value-2""&gt;"&amp;TEXT($Y$4,"0.00")&amp;"&lt;/span&gt;&lt;/p&gt;"</f>
        <v>&lt;p class="stat-row-2"&gt;&lt;span class="stat-label-2"&gt;Actions / Min&lt;/span&gt;&lt;span class="stat-value-2"&gt;0.00&lt;/span&gt;&lt;/p&gt;</v>
      </c>
      <c r="B149" s="3" t="str">
        <f>"&lt;p class=""stat-row-2""&gt;&lt;span class=""stat-label-2""&gt;Actions / Min&lt;/span&gt;&lt;span class=""stat-value-2""&gt;"&amp;TEXT($Y$15,"0.00")&amp;"&lt;/span&gt;&lt;/p&gt;"</f>
        <v>&lt;p class="stat-row-2"&gt;&lt;span class="stat-label-2"&gt;Actions / Min&lt;/span&gt;&lt;span class="stat-value-2"&gt;0.00&lt;/span&gt;&lt;/p&gt;</v>
      </c>
      <c r="C149" s="3" t="str">
        <f>"&lt;p class=""stat-row-2""&gt;&lt;span class=""stat-label-2""&gt;Actions / Min&lt;/span&gt;&lt;span class=""stat-value-2""&gt;"&amp;TEXT($Y$9,"0.00")&amp;"&lt;/span&gt;&lt;/p&gt;"</f>
        <v>&lt;p class="stat-row-2"&gt;&lt;span class="stat-label-2"&gt;Actions / Min&lt;/span&gt;&lt;span class="stat-value-2"&gt;0.00&lt;/span&gt;&lt;/p&gt;</v>
      </c>
      <c r="D149" s="3" t="str">
        <f>"&lt;p class=""stat-row-2""&gt;&lt;span class=""stat-label-2""&gt;Actions / Min&lt;/span&gt;&lt;span class=""stat-value-2""&gt;"&amp;TEXT($Y$24,"0.00")&amp;"&lt;/span&gt;&lt;/p&gt;"</f>
        <v>&lt;p class="stat-row-2"&gt;&lt;span class="stat-label-2"&gt;Actions / Min&lt;/span&gt;&lt;span class="stat-value-2"&gt;0.00&lt;/span&gt;&lt;/p&gt;</v>
      </c>
      <c r="E149" s="3" t="str">
        <f>"&lt;p class=""stat-row-2""&gt;&lt;span class=""stat-label-2""&gt;Actions / Min&lt;/span&gt;&lt;span class=""stat-value-2""&gt;"&amp;TEXT($Y$12,"0.00")&amp;"&lt;/span&gt;&lt;/p&gt;"</f>
        <v>&lt;p class="stat-row-2"&gt;&lt;span class="stat-label-2"&gt;Actions / Min&lt;/span&gt;&lt;span class="stat-value-2"&gt;0.00&lt;/span&gt;&lt;/p&gt;</v>
      </c>
      <c r="F149" s="3" t="str">
        <f>"&lt;p class=""stat-row-2""&gt;&lt;span class=""stat-label-2""&gt;Actions / Min&lt;/span&gt;&lt;span class=""stat-value-2""&gt;"&amp;TEXT($Y$22,"0.00")&amp;"&lt;/span&gt;&lt;/p&gt;"</f>
        <v>&lt;p class="stat-row-2"&gt;&lt;span class="stat-label-2"&gt;Actions / Min&lt;/span&gt;&lt;span class="stat-value-2"&gt;0.00&lt;/span&gt;&lt;/p&gt;</v>
      </c>
      <c r="G149" s="3" t="str">
        <f>"&lt;p class=""stat-row-2""&gt;&lt;span class=""stat-label-2""&gt;Actions / Min&lt;/span&gt;&lt;span class=""stat-value-2""&gt;"&amp;TEXT($Y$3,"0.00")&amp;"&lt;/span&gt;&lt;/p&gt;"</f>
        <v>&lt;p class="stat-row-2"&gt;&lt;span class="stat-label-2"&gt;Actions / Min&lt;/span&gt;&lt;span class="stat-value-2"&gt;0.00&lt;/span&gt;&lt;/p&gt;</v>
      </c>
      <c r="H149" s="3" t="str">
        <f>"&lt;p class=""stat-row-2""&gt;&lt;span class=""stat-label-2""&gt;Actions / Min&lt;/span&gt;&lt;span class=""stat-value-2""&gt;"&amp;TEXT($Y$7,"0.00")&amp;"&lt;/span&gt;&lt;/p&gt;"</f>
        <v>&lt;p class="stat-row-2"&gt;&lt;span class="stat-label-2"&gt;Actions / Min&lt;/span&gt;&lt;span class="stat-value-2"&gt;0.00&lt;/span&gt;&lt;/p&gt;</v>
      </c>
      <c r="I149" s="3" t="str">
        <f>"&lt;p class=""stat-row-2""&gt;&lt;span class=""stat-label-2""&gt;Actions / Min&lt;/span&gt;&lt;span class=""stat-value-2""&gt;"&amp;TEXT($Y$8,"0.00")&amp;"&lt;/span&gt;&lt;/p&gt;"</f>
        <v>&lt;p class="stat-row-2"&gt;&lt;span class="stat-label-2"&gt;Actions / Min&lt;/span&gt;&lt;span class="stat-value-2"&gt;0.00&lt;/span&gt;&lt;/p&gt;</v>
      </c>
      <c r="J149" s="3" t="str">
        <f>"&lt;p class=""stat-row-2""&gt;&lt;span class=""stat-label-2""&gt;Actions / Min&lt;/span&gt;&lt;span class=""stat-value-2""&gt;"&amp;TEXT($Y$23,"0.00")&amp;"&lt;/span&gt;&lt;/p&gt;"</f>
        <v>&lt;p class="stat-row-2"&gt;&lt;span class="stat-label-2"&gt;Actions / Min&lt;/span&gt;&lt;span class="stat-value-2"&gt;0.00&lt;/span&gt;&lt;/p&gt;</v>
      </c>
      <c r="K149" s="3" t="str">
        <f>"&lt;p class=""stat-row-2""&gt;&lt;span class=""stat-label-2""&gt;Actions / Min&lt;/span&gt;&lt;span class=""stat-value-2""&gt;"&amp;TEXT($Y$20,"0.00")&amp;"&lt;/span&gt;&lt;/p&gt;"</f>
        <v>&lt;p class="stat-row-2"&gt;&lt;span class="stat-label-2"&gt;Actions / Min&lt;/span&gt;&lt;span class="stat-value-2"&gt;0.00&lt;/span&gt;&lt;/p&gt;</v>
      </c>
      <c r="L149" s="3" t="str">
        <f>"&lt;p class=""stat-row-2""&gt;&lt;span class=""stat-label-2""&gt;Actions / Min&lt;/span&gt;&lt;span class=""stat-value-2""&gt;"&amp;TEXT($Y$14,"0.00")&amp;"&lt;/span&gt;&lt;/p&gt;"</f>
        <v>&lt;p class="stat-row-2"&gt;&lt;span class="stat-label-2"&gt;Actions / Min&lt;/span&gt;&lt;span class="stat-value-2"&gt;0.00&lt;/span&gt;&lt;/p&gt;</v>
      </c>
      <c r="M149" s="3" t="str">
        <f>"&lt;p class=""stat-row-2""&gt;&lt;span class=""stat-label-2""&gt;Actions / Min&lt;/span&gt;&lt;span class=""stat-value-2""&gt;"&amp;TEXT($Y$21,"0.00")&amp;"&lt;/span&gt;&lt;/p&gt;"</f>
        <v>&lt;p class="stat-row-2"&gt;&lt;span class="stat-label-2"&gt;Actions / Min&lt;/span&gt;&lt;span class="stat-value-2"&gt;0.00&lt;/span&gt;&lt;/p&gt;</v>
      </c>
      <c r="N149" s="3" t="str">
        <f>"&lt;p class=""stat-row-2""&gt;&lt;span class=""stat-label-2""&gt;Actions / Min&lt;/span&gt;&lt;span class=""stat-value-2""&gt;"&amp;TEXT($Y$11,"0.00")&amp;"&lt;/span&gt;&lt;/p&gt;"</f>
        <v>&lt;p class="stat-row-2"&gt;&lt;span class="stat-label-2"&gt;Actions / Min&lt;/span&gt;&lt;span class="stat-value-2"&gt;0.00&lt;/span&gt;&lt;/p&gt;</v>
      </c>
      <c r="O149" s="3" t="str">
        <f>"&lt;p class=""stat-row-2""&gt;&lt;span class=""stat-label-2""&gt;Actions / Min&lt;/span&gt;&lt;span class=""stat-value-2""&gt;"&amp;TEXT($Y$13,"0.00")&amp;"&lt;/span&gt;&lt;/p&gt;"</f>
        <v>&lt;p class="stat-row-2"&gt;&lt;span class="stat-label-2"&gt;Actions / Min&lt;/span&gt;&lt;span class="stat-value-2"&gt;0.00&lt;/span&gt;&lt;/p&gt;</v>
      </c>
      <c r="P149" s="3" t="str">
        <f>"&lt;p class=""stat-row-2""&gt;&lt;span class=""stat-label-2""&gt;Actions / Min&lt;/span&gt;&lt;span class=""stat-value-2""&gt;"&amp;TEXT($Y$5,"0.00")&amp;"&lt;/span&gt;&lt;/p&gt;"</f>
        <v>&lt;p class="stat-row-2"&gt;&lt;span class="stat-label-2"&gt;Actions / Min&lt;/span&gt;&lt;span class="stat-value-2"&gt;0.00&lt;/span&gt;&lt;/p&gt;</v>
      </c>
      <c r="Q149" s="3" t="str">
        <f>"&lt;p class=""stat-row-2""&gt;&lt;span class=""stat-label-2""&gt;Actions / Min&lt;/span&gt;&lt;span class=""stat-value-2""&gt;"&amp;TEXT($Y$10,"0.00")&amp;"&lt;/span&gt;&lt;/p&gt;"</f>
        <v>&lt;p class="stat-row-2"&gt;&lt;span class="stat-label-2"&gt;Actions / Min&lt;/span&gt;&lt;span class="stat-value-2"&gt;0.00&lt;/span&gt;&lt;/p&gt;</v>
      </c>
      <c r="R149" s="3" t="str">
        <f>"&lt;p class=""stat-row-2""&gt;&lt;span class=""stat-label-2""&gt;Actions / Min&lt;/span&gt;&lt;span class=""stat-value-2""&gt;"&amp;TEXT($Y$2,"0.00")&amp;"&lt;/span&gt;&lt;/p&gt;"</f>
        <v>&lt;p class="stat-row-2"&gt;&lt;span class="stat-label-2"&gt;Actions / Min&lt;/span&gt;&lt;span class="stat-value-2"&gt;0.00&lt;/span&gt;&lt;/p&gt;</v>
      </c>
      <c r="S149" s="3" t="str">
        <f>"&lt;p class=""stat-row-2""&gt;&lt;span class=""stat-label-2""&gt;Actions / Min&lt;/span&gt;&lt;span class=""stat-value-2""&gt;"&amp;TEXT($Y$19,"0.00")&amp;"&lt;/span&gt;&lt;/p&gt;"</f>
        <v>&lt;p class="stat-row-2"&gt;&lt;span class="stat-label-2"&gt;Actions / Min&lt;/span&gt;&lt;span class="stat-value-2"&gt;0.00&lt;/span&gt;&lt;/p&gt;</v>
      </c>
      <c r="T149" s="3" t="str">
        <f>"&lt;p class=""stat-row-2""&gt;&lt;span class=""stat-label-2""&gt;Actions / Min&lt;/span&gt;&lt;span class=""stat-value-2""&gt;"&amp;TEXT($Y$17,"0.00")&amp;"&lt;/span&gt;&lt;/p&gt;"</f>
        <v>&lt;p class="stat-row-2"&gt;&lt;span class="stat-label-2"&gt;Actions / Min&lt;/span&gt;&lt;span class="stat-value-2"&gt;0.00&lt;/span&gt;&lt;/p&gt;</v>
      </c>
      <c r="U149" s="3" t="str">
        <f>"&lt;p class=""stat-row-2""&gt;&lt;span class=""stat-label-2""&gt;Actions / Min&lt;/span&gt;&lt;span class=""stat-value-2""&gt;"&amp;TEXT($Y$18,"0.00")&amp;"&lt;/span&gt;&lt;/p&gt;"</f>
        <v>&lt;p class="stat-row-2"&gt;&lt;span class="stat-label-2"&gt;Actions / Min&lt;/span&gt;&lt;span class="stat-value-2"&gt;0.00&lt;/span&gt;&lt;/p&gt;</v>
      </c>
      <c r="V149" s="3" t="str">
        <f>"&lt;p class=""stat-row-2""&gt;&lt;span class=""stat-label-2""&gt;Actions / Min&lt;/span&gt;&lt;span class=""stat-value-2""&gt;"&amp;TEXT($Y$16,"0.00")&amp;"&lt;/span&gt;&lt;/p&gt;"</f>
        <v>&lt;p class="stat-row-2"&gt;&lt;span class="stat-label-2"&gt;Actions / Min&lt;/span&gt;&lt;span class="stat-value-2"&gt;0.00&lt;/span&gt;&lt;/p&gt;</v>
      </c>
      <c r="W149" s="3" t="str">
        <f>"&lt;p class=""stat-row-2""&gt;&lt;span class=""stat-label-2""&gt;Actions / Min&lt;/span&gt;&lt;span class=""stat-value-2""&gt;"&amp;TEXT($Y$6,"0.00")&amp;"&lt;/span&gt;&lt;/p&gt;"</f>
        <v>&lt;p class="stat-row-2"&gt;&lt;span class="stat-label-2"&gt;Actions / Min&lt;/span&gt;&lt;span class="stat-value-2"&gt;0.00&lt;/span&gt;&lt;/p&gt;</v>
      </c>
    </row>
    <row r="150" spans="1:23" x14ac:dyDescent="0.3">
      <c r="A150" s="3" t="str">
        <f>"&lt;p class=""stat-row-2""&gt;&lt;span class=""stat-label-2""&gt;Tackles&lt;/span&gt;&lt;span class=""stat-value-2""&gt;"&amp;$P$4&amp;"&lt;/span&gt;&lt;/p&gt;"</f>
        <v>&lt;p class="stat-row-2"&gt;&lt;span class="stat-label-2"&gt;Tackles&lt;/span&gt;&lt;span class="stat-value-2"&gt;&lt;/span&gt;&lt;/p&gt;</v>
      </c>
      <c r="B150" s="3" t="str">
        <f>"&lt;p class=""stat-row-2""&gt;&lt;span class=""stat-label-2""&gt;Tackles&lt;/span&gt;&lt;span class=""stat-value-2""&gt;"&amp;$P$15&amp;"&lt;/span&gt;&lt;/p&gt;"</f>
        <v>&lt;p class="stat-row-2"&gt;&lt;span class="stat-label-2"&gt;Tackles&lt;/span&gt;&lt;span class="stat-value-2"&gt;&lt;/span&gt;&lt;/p&gt;</v>
      </c>
      <c r="C150" s="3" t="str">
        <f>"&lt;p class=""stat-row-2""&gt;&lt;span class=""stat-label-2""&gt;Tackles&lt;/span&gt;&lt;span class=""stat-value-2""&gt;"&amp;$P$9&amp;"&lt;/span&gt;&lt;/p&gt;"</f>
        <v>&lt;p class="stat-row-2"&gt;&lt;span class="stat-label-2"&gt;Tackles&lt;/span&gt;&lt;span class="stat-value-2"&gt;&lt;/span&gt;&lt;/p&gt;</v>
      </c>
      <c r="D150" s="3" t="str">
        <f>"&lt;p class=""stat-row-2""&gt;&lt;span class=""stat-label-2""&gt;Tackles&lt;/span&gt;&lt;span class=""stat-value-2""&gt;"&amp;$P$24&amp;"&lt;/span&gt;&lt;/p&gt;"</f>
        <v>&lt;p class="stat-row-2"&gt;&lt;span class="stat-label-2"&gt;Tackles&lt;/span&gt;&lt;span class="stat-value-2"&gt;&lt;/span&gt;&lt;/p&gt;</v>
      </c>
      <c r="E150" s="3" t="str">
        <f>"&lt;p class=""stat-row-2""&gt;&lt;span class=""stat-label-2""&gt;Tackles&lt;/span&gt;&lt;span class=""stat-value-2""&gt;"&amp;$P$12&amp;"&lt;/span&gt;&lt;/p&gt;"</f>
        <v>&lt;p class="stat-row-2"&gt;&lt;span class="stat-label-2"&gt;Tackles&lt;/span&gt;&lt;span class="stat-value-2"&gt;&lt;/span&gt;&lt;/p&gt;</v>
      </c>
      <c r="F150" s="3" t="str">
        <f>"&lt;p class=""stat-row-2""&gt;&lt;span class=""stat-label-2""&gt;Tackles&lt;/span&gt;&lt;span class=""stat-value-2""&gt;"&amp;$P$22&amp;"&lt;/span&gt;&lt;/p&gt;"</f>
        <v>&lt;p class="stat-row-2"&gt;&lt;span class="stat-label-2"&gt;Tackles&lt;/span&gt;&lt;span class="stat-value-2"&gt;&lt;/span&gt;&lt;/p&gt;</v>
      </c>
      <c r="G150" s="3" t="str">
        <f>"&lt;p class=""stat-row-2""&gt;&lt;span class=""stat-label-2""&gt;Tackles&lt;/span&gt;&lt;span class=""stat-value-2""&gt;"&amp;$P$3&amp;"&lt;/span&gt;&lt;/p&gt;"</f>
        <v>&lt;p class="stat-row-2"&gt;&lt;span class="stat-label-2"&gt;Tackles&lt;/span&gt;&lt;span class="stat-value-2"&gt;&lt;/span&gt;&lt;/p&gt;</v>
      </c>
      <c r="H150" s="3" t="str">
        <f>"&lt;p class=""stat-row-2""&gt;&lt;span class=""stat-label-2""&gt;Tackles&lt;/span&gt;&lt;span class=""stat-value-2""&gt;"&amp;$P$7&amp;"&lt;/span&gt;&lt;/p&gt;"</f>
        <v>&lt;p class="stat-row-2"&gt;&lt;span class="stat-label-2"&gt;Tackles&lt;/span&gt;&lt;span class="stat-value-2"&gt;&lt;/span&gt;&lt;/p&gt;</v>
      </c>
      <c r="I150" s="3" t="str">
        <f>"&lt;p class=""stat-row-2""&gt;&lt;span class=""stat-label-2""&gt;Tackles&lt;/span&gt;&lt;span class=""stat-value-2""&gt;"&amp;$P$8&amp;"&lt;/span&gt;&lt;/p&gt;"</f>
        <v>&lt;p class="stat-row-2"&gt;&lt;span class="stat-label-2"&gt;Tackles&lt;/span&gt;&lt;span class="stat-value-2"&gt;&lt;/span&gt;&lt;/p&gt;</v>
      </c>
      <c r="J150" s="3" t="str">
        <f>"&lt;p class=""stat-row-2""&gt;&lt;span class=""stat-label-2""&gt;Tackles&lt;/span&gt;&lt;span class=""stat-value-2""&gt;"&amp;$P$23&amp;"&lt;/span&gt;&lt;/p&gt;"</f>
        <v>&lt;p class="stat-row-2"&gt;&lt;span class="stat-label-2"&gt;Tackles&lt;/span&gt;&lt;span class="stat-value-2"&gt;&lt;/span&gt;&lt;/p&gt;</v>
      </c>
      <c r="K150" s="3" t="str">
        <f>"&lt;p class=""stat-row-2""&gt;&lt;span class=""stat-label-2""&gt;Tackles&lt;/span&gt;&lt;span class=""stat-value-2""&gt;"&amp;$P$20&amp;"&lt;/span&gt;&lt;/p&gt;"</f>
        <v>&lt;p class="stat-row-2"&gt;&lt;span class="stat-label-2"&gt;Tackles&lt;/span&gt;&lt;span class="stat-value-2"&gt;&lt;/span&gt;&lt;/p&gt;</v>
      </c>
      <c r="L150" s="3" t="str">
        <f>"&lt;p class=""stat-row-2""&gt;&lt;span class=""stat-label-2""&gt;Tackles&lt;/span&gt;&lt;span class=""stat-value-2""&gt;"&amp;$P$14&amp;"&lt;/span&gt;&lt;/p&gt;"</f>
        <v>&lt;p class="stat-row-2"&gt;&lt;span class="stat-label-2"&gt;Tackles&lt;/span&gt;&lt;span class="stat-value-2"&gt;&lt;/span&gt;&lt;/p&gt;</v>
      </c>
      <c r="M150" s="3" t="str">
        <f>"&lt;p class=""stat-row-2""&gt;&lt;span class=""stat-label-2""&gt;Tackles&lt;/span&gt;&lt;span class=""stat-value-2""&gt;"&amp;$P$21&amp;"&lt;/span&gt;&lt;/p&gt;"</f>
        <v>&lt;p class="stat-row-2"&gt;&lt;span class="stat-label-2"&gt;Tackles&lt;/span&gt;&lt;span class="stat-value-2"&gt;&lt;/span&gt;&lt;/p&gt;</v>
      </c>
      <c r="N150" s="3" t="str">
        <f>"&lt;p class=""stat-row-2""&gt;&lt;span class=""stat-label-2""&gt;Tackles&lt;/span&gt;&lt;span class=""stat-value-2""&gt;"&amp;$P$11&amp;"&lt;/span&gt;&lt;/p&gt;"</f>
        <v>&lt;p class="stat-row-2"&gt;&lt;span class="stat-label-2"&gt;Tackles&lt;/span&gt;&lt;span class="stat-value-2"&gt;&lt;/span&gt;&lt;/p&gt;</v>
      </c>
      <c r="O150" s="3" t="str">
        <f>"&lt;p class=""stat-row-2""&gt;&lt;span class=""stat-label-2""&gt;Tackles&lt;/span&gt;&lt;span class=""stat-value-2""&gt;"&amp;$P$13&amp;"&lt;/span&gt;&lt;/p&gt;"</f>
        <v>&lt;p class="stat-row-2"&gt;&lt;span class="stat-label-2"&gt;Tackles&lt;/span&gt;&lt;span class="stat-value-2"&gt;&lt;/span&gt;&lt;/p&gt;</v>
      </c>
      <c r="P150" s="3" t="str">
        <f>"&lt;p class=""stat-row-2""&gt;&lt;span class=""stat-label-2""&gt;Tackles&lt;/span&gt;&lt;span class=""stat-value-2""&gt;"&amp;$P$5&amp;"&lt;/span&gt;&lt;/p&gt;"</f>
        <v>&lt;p class="stat-row-2"&gt;&lt;span class="stat-label-2"&gt;Tackles&lt;/span&gt;&lt;span class="stat-value-2"&gt;&lt;/span&gt;&lt;/p&gt;</v>
      </c>
      <c r="Q150" s="3" t="str">
        <f>"&lt;p class=""stat-row-2""&gt;&lt;span class=""stat-label-2""&gt;Tackles&lt;/span&gt;&lt;span class=""stat-value-2""&gt;"&amp;$P$10&amp;"&lt;/span&gt;&lt;/p&gt;"</f>
        <v>&lt;p class="stat-row-2"&gt;&lt;span class="stat-label-2"&gt;Tackles&lt;/span&gt;&lt;span class="stat-value-2"&gt;&lt;/span&gt;&lt;/p&gt;</v>
      </c>
      <c r="R150" s="3" t="str">
        <f>"&lt;p class=""stat-row-2""&gt;&lt;span class=""stat-label-2""&gt;Tackles&lt;/span&gt;&lt;span class=""stat-value-2""&gt;"&amp;$P$2&amp;"&lt;/span&gt;&lt;/p&gt;"</f>
        <v>&lt;p class="stat-row-2"&gt;&lt;span class="stat-label-2"&gt;Tackles&lt;/span&gt;&lt;span class="stat-value-2"&gt;&lt;/span&gt;&lt;/p&gt;</v>
      </c>
      <c r="S150" s="3" t="str">
        <f>"&lt;p class=""stat-row-2""&gt;&lt;span class=""stat-label-2""&gt;Tackles&lt;/span&gt;&lt;span class=""stat-value-2""&gt;"&amp;$P$19&amp;"&lt;/span&gt;&lt;/p&gt;"</f>
        <v>&lt;p class="stat-row-2"&gt;&lt;span class="stat-label-2"&gt;Tackles&lt;/span&gt;&lt;span class="stat-value-2"&gt;&lt;/span&gt;&lt;/p&gt;</v>
      </c>
      <c r="T150" s="3" t="str">
        <f>"&lt;p class=""stat-row-2""&gt;&lt;span class=""stat-label-2""&gt;Tackles&lt;/span&gt;&lt;span class=""stat-value-2""&gt;"&amp;$P$17&amp;"&lt;/span&gt;&lt;/p&gt;"</f>
        <v>&lt;p class="stat-row-2"&gt;&lt;span class="stat-label-2"&gt;Tackles&lt;/span&gt;&lt;span class="stat-value-2"&gt;&lt;/span&gt;&lt;/p&gt;</v>
      </c>
      <c r="U150" s="3" t="str">
        <f>"&lt;p class=""stat-row-2""&gt;&lt;span class=""stat-label-2""&gt;Tackles&lt;/span&gt;&lt;span class=""stat-value-2""&gt;"&amp;$P$18&amp;"&lt;/span&gt;&lt;/p&gt;"</f>
        <v>&lt;p class="stat-row-2"&gt;&lt;span class="stat-label-2"&gt;Tackles&lt;/span&gt;&lt;span class="stat-value-2"&gt;&lt;/span&gt;&lt;/p&gt;</v>
      </c>
      <c r="V150" s="3" t="str">
        <f>"&lt;p class=""stat-row-2""&gt;&lt;span class=""stat-label-2""&gt;Tackles&lt;/span&gt;&lt;span class=""stat-value-2""&gt;"&amp;$P$16&amp;"&lt;/span&gt;&lt;/p&gt;"</f>
        <v>&lt;p class="stat-row-2"&gt;&lt;span class="stat-label-2"&gt;Tackles&lt;/span&gt;&lt;span class="stat-value-2"&gt;&lt;/span&gt;&lt;/p&gt;</v>
      </c>
      <c r="W150" s="3" t="str">
        <f>"&lt;p class=""stat-row-2""&gt;&lt;span class=""stat-label-2""&gt;Tackles&lt;/span&gt;&lt;span class=""stat-value-2""&gt;"&amp;$P$6&amp;"&lt;/span&gt;&lt;/p&gt;"</f>
        <v>&lt;p class="stat-row-2"&gt;&lt;span class="stat-label-2"&gt;Tackles&lt;/span&gt;&lt;span class="stat-value-2"&gt;&lt;/span&gt;&lt;/p&gt;</v>
      </c>
    </row>
    <row r="151" spans="1:23" x14ac:dyDescent="0.3">
      <c r="A151" s="3" t="str">
        <f>"&lt;p class=""stat-row-2""&gt;&lt;span class=""stat-label-2""&gt;Interceptions&lt;/span&gt;&lt;span class=""stat-value-2""&gt;"&amp;$Q$4&amp;"&lt;/span&gt;&lt;/p&gt;"</f>
        <v>&lt;p class="stat-row-2"&gt;&lt;span class="stat-label-2"&gt;Interceptions&lt;/span&gt;&lt;span class="stat-value-2"&gt;&lt;/span&gt;&lt;/p&gt;</v>
      </c>
      <c r="B151" s="3" t="str">
        <f>"&lt;p class=""stat-row-2""&gt;&lt;span class=""stat-label-2""&gt;Interceptions&lt;/span&gt;&lt;span class=""stat-value-2""&gt;"&amp;$Q$15&amp;"&lt;/span&gt;&lt;/p&gt;"</f>
        <v>&lt;p class="stat-row-2"&gt;&lt;span class="stat-label-2"&gt;Interceptions&lt;/span&gt;&lt;span class="stat-value-2"&gt;&lt;/span&gt;&lt;/p&gt;</v>
      </c>
      <c r="C151" s="3" t="str">
        <f>"&lt;p class=""stat-row-2""&gt;&lt;span class=""stat-label-2""&gt;Interceptions&lt;/span&gt;&lt;span class=""stat-value-2""&gt;"&amp;$Q$9&amp;"&lt;/span&gt;&lt;/p&gt;"</f>
        <v>&lt;p class="stat-row-2"&gt;&lt;span class="stat-label-2"&gt;Interceptions&lt;/span&gt;&lt;span class="stat-value-2"&gt;&lt;/span&gt;&lt;/p&gt;</v>
      </c>
      <c r="D151" s="3" t="str">
        <f>"&lt;p class=""stat-row-2""&gt;&lt;span class=""stat-label-2""&gt;Interceptions&lt;/span&gt;&lt;span class=""stat-value-2""&gt;"&amp;$Q$24&amp;"&lt;/span&gt;&lt;/p&gt;"</f>
        <v>&lt;p class="stat-row-2"&gt;&lt;span class="stat-label-2"&gt;Interceptions&lt;/span&gt;&lt;span class="stat-value-2"&gt;&lt;/span&gt;&lt;/p&gt;</v>
      </c>
      <c r="E151" s="3" t="str">
        <f>"&lt;p class=""stat-row-2""&gt;&lt;span class=""stat-label-2""&gt;Interceptions&lt;/span&gt;&lt;span class=""stat-value-2""&gt;"&amp;$Q$12&amp;"&lt;/span&gt;&lt;/p&gt;"</f>
        <v>&lt;p class="stat-row-2"&gt;&lt;span class="stat-label-2"&gt;Interceptions&lt;/span&gt;&lt;span class="stat-value-2"&gt;&lt;/span&gt;&lt;/p&gt;</v>
      </c>
      <c r="F151" s="3" t="str">
        <f>"&lt;p class=""stat-row-2""&gt;&lt;span class=""stat-label-2""&gt;Interceptions&lt;/span&gt;&lt;span class=""stat-value-2""&gt;"&amp;$Q$22&amp;"&lt;/span&gt;&lt;/p&gt;"</f>
        <v>&lt;p class="stat-row-2"&gt;&lt;span class="stat-label-2"&gt;Interceptions&lt;/span&gt;&lt;span class="stat-value-2"&gt;&lt;/span&gt;&lt;/p&gt;</v>
      </c>
      <c r="G151" s="3" t="str">
        <f>"&lt;p class=""stat-row-2""&gt;&lt;span class=""stat-label-2""&gt;Interceptions&lt;/span&gt;&lt;span class=""stat-value-2""&gt;"&amp;$Q$3&amp;"&lt;/span&gt;&lt;/p&gt;"</f>
        <v>&lt;p class="stat-row-2"&gt;&lt;span class="stat-label-2"&gt;Interceptions&lt;/span&gt;&lt;span class="stat-value-2"&gt;&lt;/span&gt;&lt;/p&gt;</v>
      </c>
      <c r="H151" s="3" t="str">
        <f>"&lt;p class=""stat-row-2""&gt;&lt;span class=""stat-label-2""&gt;Interceptions&lt;/span&gt;&lt;span class=""stat-value-2""&gt;"&amp;$Q$7&amp;"&lt;/span&gt;&lt;/p&gt;"</f>
        <v>&lt;p class="stat-row-2"&gt;&lt;span class="stat-label-2"&gt;Interceptions&lt;/span&gt;&lt;span class="stat-value-2"&gt;&lt;/span&gt;&lt;/p&gt;</v>
      </c>
      <c r="I151" s="3" t="str">
        <f>"&lt;p class=""stat-row-2""&gt;&lt;span class=""stat-label-2""&gt;Interceptions&lt;/span&gt;&lt;span class=""stat-value-2""&gt;"&amp;$Q$8&amp;"&lt;/span&gt;&lt;/p&gt;"</f>
        <v>&lt;p class="stat-row-2"&gt;&lt;span class="stat-label-2"&gt;Interceptions&lt;/span&gt;&lt;span class="stat-value-2"&gt;&lt;/span&gt;&lt;/p&gt;</v>
      </c>
      <c r="J151" s="3" t="str">
        <f>"&lt;p class=""stat-row-2""&gt;&lt;span class=""stat-label-2""&gt;Interceptions&lt;/span&gt;&lt;span class=""stat-value-2""&gt;"&amp;$Q$23&amp;"&lt;/span&gt;&lt;/p&gt;"</f>
        <v>&lt;p class="stat-row-2"&gt;&lt;span class="stat-label-2"&gt;Interceptions&lt;/span&gt;&lt;span class="stat-value-2"&gt;&lt;/span&gt;&lt;/p&gt;</v>
      </c>
      <c r="K151" s="3" t="str">
        <f>"&lt;p class=""stat-row-2""&gt;&lt;span class=""stat-label-2""&gt;Interceptions&lt;/span&gt;&lt;span class=""stat-value-2""&gt;"&amp;$Q$20&amp;"&lt;/span&gt;&lt;/p&gt;"</f>
        <v>&lt;p class="stat-row-2"&gt;&lt;span class="stat-label-2"&gt;Interceptions&lt;/span&gt;&lt;span class="stat-value-2"&gt;&lt;/span&gt;&lt;/p&gt;</v>
      </c>
      <c r="L151" s="3" t="str">
        <f>"&lt;p class=""stat-row-2""&gt;&lt;span class=""stat-label-2""&gt;Interceptions&lt;/span&gt;&lt;span class=""stat-value-2""&gt;"&amp;$Q$14&amp;"&lt;/span&gt;&lt;/p&gt;"</f>
        <v>&lt;p class="stat-row-2"&gt;&lt;span class="stat-label-2"&gt;Interceptions&lt;/span&gt;&lt;span class="stat-value-2"&gt;&lt;/span&gt;&lt;/p&gt;</v>
      </c>
      <c r="M151" s="3" t="str">
        <f>"&lt;p class=""stat-row-2""&gt;&lt;span class=""stat-label-2""&gt;Interceptions&lt;/span&gt;&lt;span class=""stat-value-2""&gt;"&amp;$Q$21&amp;"&lt;/span&gt;&lt;/p&gt;"</f>
        <v>&lt;p class="stat-row-2"&gt;&lt;span class="stat-label-2"&gt;Interceptions&lt;/span&gt;&lt;span class="stat-value-2"&gt;&lt;/span&gt;&lt;/p&gt;</v>
      </c>
      <c r="N151" s="3" t="str">
        <f>"&lt;p class=""stat-row-2""&gt;&lt;span class=""stat-label-2""&gt;Interceptions&lt;/span&gt;&lt;span class=""stat-value-2""&gt;"&amp;$Q$11&amp;"&lt;/span&gt;&lt;/p&gt;"</f>
        <v>&lt;p class="stat-row-2"&gt;&lt;span class="stat-label-2"&gt;Interceptions&lt;/span&gt;&lt;span class="stat-value-2"&gt;&lt;/span&gt;&lt;/p&gt;</v>
      </c>
      <c r="O151" s="3" t="str">
        <f>"&lt;p class=""stat-row-2""&gt;&lt;span class=""stat-label-2""&gt;Interceptions&lt;/span&gt;&lt;span class=""stat-value-2""&gt;"&amp;$Q$13&amp;"&lt;/span&gt;&lt;/p&gt;"</f>
        <v>&lt;p class="stat-row-2"&gt;&lt;span class="stat-label-2"&gt;Interceptions&lt;/span&gt;&lt;span class="stat-value-2"&gt;&lt;/span&gt;&lt;/p&gt;</v>
      </c>
      <c r="P151" s="3" t="str">
        <f>"&lt;p class=""stat-row-2""&gt;&lt;span class=""stat-label-2""&gt;Interceptions&lt;/span&gt;&lt;span class=""stat-value-2""&gt;"&amp;$Q$5&amp;"&lt;/span&gt;&lt;/p&gt;"</f>
        <v>&lt;p class="stat-row-2"&gt;&lt;span class="stat-label-2"&gt;Interceptions&lt;/span&gt;&lt;span class="stat-value-2"&gt;&lt;/span&gt;&lt;/p&gt;</v>
      </c>
      <c r="Q151" s="3" t="str">
        <f>"&lt;p class=""stat-row-2""&gt;&lt;span class=""stat-label-2""&gt;Interceptions&lt;/span&gt;&lt;span class=""stat-value-2""&gt;"&amp;$Q$10&amp;"&lt;/span&gt;&lt;/p&gt;"</f>
        <v>&lt;p class="stat-row-2"&gt;&lt;span class="stat-label-2"&gt;Interceptions&lt;/span&gt;&lt;span class="stat-value-2"&gt;&lt;/span&gt;&lt;/p&gt;</v>
      </c>
      <c r="R151" s="3" t="str">
        <f>"&lt;p class=""stat-row-2""&gt;&lt;span class=""stat-label-2""&gt;Interceptions&lt;/span&gt;&lt;span class=""stat-value-2""&gt;"&amp;$Q$2&amp;"&lt;/span&gt;&lt;/p&gt;"</f>
        <v>&lt;p class="stat-row-2"&gt;&lt;span class="stat-label-2"&gt;Interceptions&lt;/span&gt;&lt;span class="stat-value-2"&gt;&lt;/span&gt;&lt;/p&gt;</v>
      </c>
      <c r="S151" s="3" t="str">
        <f>"&lt;p class=""stat-row-2""&gt;&lt;span class=""stat-label-2""&gt;Interceptions&lt;/span&gt;&lt;span class=""stat-value-2""&gt;"&amp;$Q$19&amp;"&lt;/span&gt;&lt;/p&gt;"</f>
        <v>&lt;p class="stat-row-2"&gt;&lt;span class="stat-label-2"&gt;Interceptions&lt;/span&gt;&lt;span class="stat-value-2"&gt;&lt;/span&gt;&lt;/p&gt;</v>
      </c>
      <c r="T151" s="3" t="str">
        <f>"&lt;p class=""stat-row-2""&gt;&lt;span class=""stat-label-2""&gt;Interceptions&lt;/span&gt;&lt;span class=""stat-value-2""&gt;"&amp;$Q$17&amp;"&lt;/span&gt;&lt;/p&gt;"</f>
        <v>&lt;p class="stat-row-2"&gt;&lt;span class="stat-label-2"&gt;Interceptions&lt;/span&gt;&lt;span class="stat-value-2"&gt;&lt;/span&gt;&lt;/p&gt;</v>
      </c>
      <c r="U151" s="3" t="str">
        <f>"&lt;p class=""stat-row-2""&gt;&lt;span class=""stat-label-2""&gt;Interceptions&lt;/span&gt;&lt;span class=""stat-value-2""&gt;"&amp;$Q$18&amp;"&lt;/span&gt;&lt;/p&gt;"</f>
        <v>&lt;p class="stat-row-2"&gt;&lt;span class="stat-label-2"&gt;Interceptions&lt;/span&gt;&lt;span class="stat-value-2"&gt;&lt;/span&gt;&lt;/p&gt;</v>
      </c>
      <c r="V151" s="3" t="str">
        <f>"&lt;p class=""stat-row-2""&gt;&lt;span class=""stat-label-2""&gt;Interceptions&lt;/span&gt;&lt;span class=""stat-value-2""&gt;"&amp;$Q$16&amp;"&lt;/span&gt;&lt;/p&gt;"</f>
        <v>&lt;p class="stat-row-2"&gt;&lt;span class="stat-label-2"&gt;Interceptions&lt;/span&gt;&lt;span class="stat-value-2"&gt;&lt;/span&gt;&lt;/p&gt;</v>
      </c>
      <c r="W151" s="3" t="str">
        <f>"&lt;p class=""stat-row-2""&gt;&lt;span class=""stat-label-2""&gt;Interceptions&lt;/span&gt;&lt;span class=""stat-value-2""&gt;"&amp;$Q$6&amp;"&lt;/span&gt;&lt;/p&gt;"</f>
        <v>&lt;p class="stat-row-2"&gt;&lt;span class="stat-label-2"&gt;Interceptions&lt;/span&gt;&lt;span class="stat-value-2"&gt;&lt;/span&gt;&lt;/p&gt;</v>
      </c>
    </row>
    <row r="152" spans="1:23" x14ac:dyDescent="0.3">
      <c r="A152" s="3" t="str">
        <f>"&lt;p class=""stat-row-2""&gt;&lt;span class=""stat-label-2""&gt;FH Regains&lt;/span&gt;&lt;span class=""stat-value-2""&gt;"&amp;$R$4&amp;"&lt;/span&gt;&lt;/p&gt;"</f>
        <v>&lt;p class="stat-row-2"&gt;&lt;span class="stat-label-2"&gt;FH Regains&lt;/span&gt;&lt;span class="stat-value-2"&gt;&lt;/span&gt;&lt;/p&gt;</v>
      </c>
      <c r="B152" s="3" t="str">
        <f>"&lt;p class=""stat-row-2""&gt;&lt;span class=""stat-label-2""&gt;FH Regains&lt;/span&gt;&lt;span class=""stat-value-2""&gt;"&amp;$R$15&amp;"&lt;/span&gt;&lt;/p&gt;"</f>
        <v>&lt;p class="stat-row-2"&gt;&lt;span class="stat-label-2"&gt;FH Regains&lt;/span&gt;&lt;span class="stat-value-2"&gt;&lt;/span&gt;&lt;/p&gt;</v>
      </c>
      <c r="C152" s="3" t="str">
        <f>"&lt;p class=""stat-row-2""&gt;&lt;span class=""stat-label-2""&gt;FH Regains&lt;/span&gt;&lt;span class=""stat-value-2""&gt;"&amp;$R$9&amp;"&lt;/span&gt;&lt;/p&gt;"</f>
        <v>&lt;p class="stat-row-2"&gt;&lt;span class="stat-label-2"&gt;FH Regains&lt;/span&gt;&lt;span class="stat-value-2"&gt;&lt;/span&gt;&lt;/p&gt;</v>
      </c>
      <c r="D152" s="3" t="str">
        <f>"&lt;p class=""stat-row-2""&gt;&lt;span class=""stat-label-2""&gt;FH Regains&lt;/span&gt;&lt;span class=""stat-value-2""&gt;"&amp;$R$24&amp;"&lt;/span&gt;&lt;/p&gt;"</f>
        <v>&lt;p class="stat-row-2"&gt;&lt;span class="stat-label-2"&gt;FH Regains&lt;/span&gt;&lt;span class="stat-value-2"&gt;&lt;/span&gt;&lt;/p&gt;</v>
      </c>
      <c r="E152" s="3" t="str">
        <f>"&lt;p class=""stat-row-2""&gt;&lt;span class=""stat-label-2""&gt;FH Regains&lt;/span&gt;&lt;span class=""stat-value-2""&gt;"&amp;$R$12&amp;"&lt;/span&gt;&lt;/p&gt;"</f>
        <v>&lt;p class="stat-row-2"&gt;&lt;span class="stat-label-2"&gt;FH Regains&lt;/span&gt;&lt;span class="stat-value-2"&gt;&lt;/span&gt;&lt;/p&gt;</v>
      </c>
      <c r="F152" s="3" t="str">
        <f>"&lt;p class=""stat-row-2""&gt;&lt;span class=""stat-label-2""&gt;FH Regains&lt;/span&gt;&lt;span class=""stat-value-2""&gt;"&amp;$R$22&amp;"&lt;/span&gt;&lt;/p&gt;"</f>
        <v>&lt;p class="stat-row-2"&gt;&lt;span class="stat-label-2"&gt;FH Regains&lt;/span&gt;&lt;span class="stat-value-2"&gt;&lt;/span&gt;&lt;/p&gt;</v>
      </c>
      <c r="G152" s="3" t="str">
        <f>"&lt;p class=""stat-row-2""&gt;&lt;span class=""stat-label-2""&gt;FH Regains&lt;/span&gt;&lt;span class=""stat-value-2""&gt;"&amp;$R$3&amp;"&lt;/span&gt;&lt;/p&gt;"</f>
        <v>&lt;p class="stat-row-2"&gt;&lt;span class="stat-label-2"&gt;FH Regains&lt;/span&gt;&lt;span class="stat-value-2"&gt;&lt;/span&gt;&lt;/p&gt;</v>
      </c>
      <c r="H152" s="3" t="str">
        <f>"&lt;p class=""stat-row-2""&gt;&lt;span class=""stat-label-2""&gt;FH Regains&lt;/span&gt;&lt;span class=""stat-value-2""&gt;"&amp;$R$7&amp;"&lt;/span&gt;&lt;/p&gt;"</f>
        <v>&lt;p class="stat-row-2"&gt;&lt;span class="stat-label-2"&gt;FH Regains&lt;/span&gt;&lt;span class="stat-value-2"&gt;&lt;/span&gt;&lt;/p&gt;</v>
      </c>
      <c r="I152" s="3" t="str">
        <f>"&lt;p class=""stat-row-2""&gt;&lt;span class=""stat-label-2""&gt;FH Regains&lt;/span&gt;&lt;span class=""stat-value-2""&gt;"&amp;$R$8&amp;"&lt;/span&gt;&lt;/p&gt;"</f>
        <v>&lt;p class="stat-row-2"&gt;&lt;span class="stat-label-2"&gt;FH Regains&lt;/span&gt;&lt;span class="stat-value-2"&gt;&lt;/span&gt;&lt;/p&gt;</v>
      </c>
      <c r="J152" s="3" t="str">
        <f>"&lt;p class=""stat-row-2""&gt;&lt;span class=""stat-label-2""&gt;FH Regains&lt;/span&gt;&lt;span class=""stat-value-2""&gt;"&amp;$R$23&amp;"&lt;/span&gt;&lt;/p&gt;"</f>
        <v>&lt;p class="stat-row-2"&gt;&lt;span class="stat-label-2"&gt;FH Regains&lt;/span&gt;&lt;span class="stat-value-2"&gt;&lt;/span&gt;&lt;/p&gt;</v>
      </c>
      <c r="K152" s="3" t="str">
        <f>"&lt;p class=""stat-row-2""&gt;&lt;span class=""stat-label-2""&gt;FH Regains&lt;/span&gt;&lt;span class=""stat-value-2""&gt;"&amp;$R$20&amp;"&lt;/span&gt;&lt;/p&gt;"</f>
        <v>&lt;p class="stat-row-2"&gt;&lt;span class="stat-label-2"&gt;FH Regains&lt;/span&gt;&lt;span class="stat-value-2"&gt;&lt;/span&gt;&lt;/p&gt;</v>
      </c>
      <c r="L152" s="3" t="str">
        <f>"&lt;p class=""stat-row-2""&gt;&lt;span class=""stat-label-2""&gt;FH Regains&lt;/span&gt;&lt;span class=""stat-value-2""&gt;"&amp;$R$14&amp;"&lt;/span&gt;&lt;/p&gt;"</f>
        <v>&lt;p class="stat-row-2"&gt;&lt;span class="stat-label-2"&gt;FH Regains&lt;/span&gt;&lt;span class="stat-value-2"&gt;&lt;/span&gt;&lt;/p&gt;</v>
      </c>
      <c r="M152" s="3" t="str">
        <f>"&lt;p class=""stat-row-2""&gt;&lt;span class=""stat-label-2""&gt;FH Regains&lt;/span&gt;&lt;span class=""stat-value-2""&gt;"&amp;$R$21&amp;"&lt;/span&gt;&lt;/p&gt;"</f>
        <v>&lt;p class="stat-row-2"&gt;&lt;span class="stat-label-2"&gt;FH Regains&lt;/span&gt;&lt;span class="stat-value-2"&gt;&lt;/span&gt;&lt;/p&gt;</v>
      </c>
      <c r="N152" s="3" t="str">
        <f>"&lt;p class=""stat-row-2""&gt;&lt;span class=""stat-label-2""&gt;FH Regains&lt;/span&gt;&lt;span class=""stat-value-2""&gt;"&amp;$R$11&amp;"&lt;/span&gt;&lt;/p&gt;"</f>
        <v>&lt;p class="stat-row-2"&gt;&lt;span class="stat-label-2"&gt;FH Regains&lt;/span&gt;&lt;span class="stat-value-2"&gt;&lt;/span&gt;&lt;/p&gt;</v>
      </c>
      <c r="O152" s="3" t="str">
        <f>"&lt;p class=""stat-row-2""&gt;&lt;span class=""stat-label-2""&gt;FH Regains&lt;/span&gt;&lt;span class=""stat-value-2""&gt;"&amp;$R$13&amp;"&lt;/span&gt;&lt;/p&gt;"</f>
        <v>&lt;p class="stat-row-2"&gt;&lt;span class="stat-label-2"&gt;FH Regains&lt;/span&gt;&lt;span class="stat-value-2"&gt;&lt;/span&gt;&lt;/p&gt;</v>
      </c>
      <c r="P152" s="3" t="str">
        <f>"&lt;p class=""stat-row-2""&gt;&lt;span class=""stat-label-2""&gt;FH Regains&lt;/span&gt;&lt;span class=""stat-value-2""&gt;"&amp;$R$5&amp;"&lt;/span&gt;&lt;/p&gt;"</f>
        <v>&lt;p class="stat-row-2"&gt;&lt;span class="stat-label-2"&gt;FH Regains&lt;/span&gt;&lt;span class="stat-value-2"&gt;&lt;/span&gt;&lt;/p&gt;</v>
      </c>
      <c r="Q152" s="3" t="str">
        <f>"&lt;p class=""stat-row-2""&gt;&lt;span class=""stat-label-2""&gt;FH Regains&lt;/span&gt;&lt;span class=""stat-value-2""&gt;"&amp;$R$10&amp;"&lt;/span&gt;&lt;/p&gt;"</f>
        <v>&lt;p class="stat-row-2"&gt;&lt;span class="stat-label-2"&gt;FH Regains&lt;/span&gt;&lt;span class="stat-value-2"&gt;&lt;/span&gt;&lt;/p&gt;</v>
      </c>
      <c r="R152" s="3" t="str">
        <f>"&lt;p class=""stat-row-2""&gt;&lt;span class=""stat-label-2""&gt;FH Regains&lt;/span&gt;&lt;span class=""stat-value-2""&gt;"&amp;$R$2&amp;"&lt;/span&gt;&lt;/p&gt;"</f>
        <v>&lt;p class="stat-row-2"&gt;&lt;span class="stat-label-2"&gt;FH Regains&lt;/span&gt;&lt;span class="stat-value-2"&gt;&lt;/span&gt;&lt;/p&gt;</v>
      </c>
      <c r="S152" s="3" t="str">
        <f>"&lt;p class=""stat-row-2""&gt;&lt;span class=""stat-label-2""&gt;FH Regains&lt;/span&gt;&lt;span class=""stat-value-2""&gt;"&amp;$R$19&amp;"&lt;/span&gt;&lt;/p&gt;"</f>
        <v>&lt;p class="stat-row-2"&gt;&lt;span class="stat-label-2"&gt;FH Regains&lt;/span&gt;&lt;span class="stat-value-2"&gt;&lt;/span&gt;&lt;/p&gt;</v>
      </c>
      <c r="T152" s="3" t="str">
        <f>"&lt;p class=""stat-row-2""&gt;&lt;span class=""stat-label-2""&gt;FH Regains&lt;/span&gt;&lt;span class=""stat-value-2""&gt;"&amp;$R$17&amp;"&lt;/span&gt;&lt;/p&gt;"</f>
        <v>&lt;p class="stat-row-2"&gt;&lt;span class="stat-label-2"&gt;FH Regains&lt;/span&gt;&lt;span class="stat-value-2"&gt;&lt;/span&gt;&lt;/p&gt;</v>
      </c>
      <c r="U152" s="3" t="str">
        <f>"&lt;p class=""stat-row-2""&gt;&lt;span class=""stat-label-2""&gt;FH Regains&lt;/span&gt;&lt;span class=""stat-value-2""&gt;"&amp;$R$18&amp;"&lt;/span&gt;&lt;/p&gt;"</f>
        <v>&lt;p class="stat-row-2"&gt;&lt;span class="stat-label-2"&gt;FH Regains&lt;/span&gt;&lt;span class="stat-value-2"&gt;&lt;/span&gt;&lt;/p&gt;</v>
      </c>
      <c r="V152" s="3" t="str">
        <f>"&lt;p class=""stat-row-2""&gt;&lt;span class=""stat-label-2""&gt;FH Regains&lt;/span&gt;&lt;span class=""stat-value-2""&gt;"&amp;$R$16&amp;"&lt;/span&gt;&lt;/p&gt;"</f>
        <v>&lt;p class="stat-row-2"&gt;&lt;span class="stat-label-2"&gt;FH Regains&lt;/span&gt;&lt;span class="stat-value-2"&gt;&lt;/span&gt;&lt;/p&gt;</v>
      </c>
      <c r="W152" s="3" t="str">
        <f>"&lt;p class=""stat-row-2""&gt;&lt;span class=""stat-label-2""&gt;FH Regains&lt;/span&gt;&lt;span class=""stat-value-2""&gt;"&amp;$R$6&amp;"&lt;/span&gt;&lt;/p&gt;"</f>
        <v>&lt;p class="stat-row-2"&gt;&lt;span class="stat-label-2"&gt;FH Regains&lt;/span&gt;&lt;span class="stat-value-2"&gt;&lt;/span&gt;&lt;/p&gt;</v>
      </c>
    </row>
    <row r="153" spans="1:23" x14ac:dyDescent="0.3">
      <c r="A153" s="3" t="str">
        <f>"&lt;p class=""stat-row-2""&gt;&lt;span class=""stat-label-2""&gt;Blocks&lt;/span&gt;&lt;span class=""stat-value-2""&gt;"&amp;$S$4&amp;"&lt;/span&gt;&lt;/p&gt;"</f>
        <v>&lt;p class="stat-row-2"&gt;&lt;span class="stat-label-2"&gt;Blocks&lt;/span&gt;&lt;span class="stat-value-2"&gt;&lt;/span&gt;&lt;/p&gt;</v>
      </c>
      <c r="B153" s="3" t="str">
        <f>"&lt;p class=""stat-row-2""&gt;&lt;span class=""stat-label-2""&gt;Blocks&lt;/span&gt;&lt;span class=""stat-value-2""&gt;"&amp;$S$15&amp;"&lt;/span&gt;&lt;/p&gt;"</f>
        <v>&lt;p class="stat-row-2"&gt;&lt;span class="stat-label-2"&gt;Blocks&lt;/span&gt;&lt;span class="stat-value-2"&gt;&lt;/span&gt;&lt;/p&gt;</v>
      </c>
      <c r="C153" s="3" t="str">
        <f>"&lt;p class=""stat-row-2""&gt;&lt;span class=""stat-label-2""&gt;Blocks&lt;/span&gt;&lt;span class=""stat-value-2""&gt;"&amp;$S$9&amp;"&lt;/span&gt;&lt;/p&gt;"</f>
        <v>&lt;p class="stat-row-2"&gt;&lt;span class="stat-label-2"&gt;Blocks&lt;/span&gt;&lt;span class="stat-value-2"&gt;&lt;/span&gt;&lt;/p&gt;</v>
      </c>
      <c r="D153" s="3" t="str">
        <f>"&lt;p class=""stat-row-2""&gt;&lt;span class=""stat-label-2""&gt;Blocks&lt;/span&gt;&lt;span class=""stat-value-2""&gt;"&amp;$S$24&amp;"&lt;/span&gt;&lt;/p&gt;"</f>
        <v>&lt;p class="stat-row-2"&gt;&lt;span class="stat-label-2"&gt;Blocks&lt;/span&gt;&lt;span class="stat-value-2"&gt;&lt;/span&gt;&lt;/p&gt;</v>
      </c>
      <c r="E153" s="3" t="str">
        <f>"&lt;p class=""stat-row-2""&gt;&lt;span class=""stat-label-2""&gt;Blocks&lt;/span&gt;&lt;span class=""stat-value-2""&gt;"&amp;$S$12&amp;"&lt;/span&gt;&lt;/p&gt;"</f>
        <v>&lt;p class="stat-row-2"&gt;&lt;span class="stat-label-2"&gt;Blocks&lt;/span&gt;&lt;span class="stat-value-2"&gt;&lt;/span&gt;&lt;/p&gt;</v>
      </c>
      <c r="F153" s="3" t="str">
        <f>"&lt;p class=""stat-row-2""&gt;&lt;span class=""stat-label-2""&gt;Blocks&lt;/span&gt;&lt;span class=""stat-value-2""&gt;"&amp;$S$22&amp;"&lt;/span&gt;&lt;/p&gt;"</f>
        <v>&lt;p class="stat-row-2"&gt;&lt;span class="stat-label-2"&gt;Blocks&lt;/span&gt;&lt;span class="stat-value-2"&gt;&lt;/span&gt;&lt;/p&gt;</v>
      </c>
      <c r="G153" s="3" t="str">
        <f>"&lt;p class=""stat-row-2""&gt;&lt;span class=""stat-label-2""&gt;Blocks&lt;/span&gt;&lt;span class=""stat-value-2""&gt;"&amp;$S$3&amp;"&lt;/span&gt;&lt;/p&gt;"</f>
        <v>&lt;p class="stat-row-2"&gt;&lt;span class="stat-label-2"&gt;Blocks&lt;/span&gt;&lt;span class="stat-value-2"&gt;&lt;/span&gt;&lt;/p&gt;</v>
      </c>
      <c r="H153" s="3" t="str">
        <f>"&lt;p class=""stat-row-2""&gt;&lt;span class=""stat-label-2""&gt;Blocks&lt;/span&gt;&lt;span class=""stat-value-2""&gt;"&amp;$S$7&amp;"&lt;/span&gt;&lt;/p&gt;"</f>
        <v>&lt;p class="stat-row-2"&gt;&lt;span class="stat-label-2"&gt;Blocks&lt;/span&gt;&lt;span class="stat-value-2"&gt;&lt;/span&gt;&lt;/p&gt;</v>
      </c>
      <c r="I153" s="3" t="str">
        <f>"&lt;p class=""stat-row-2""&gt;&lt;span class=""stat-label-2""&gt;Blocks&lt;/span&gt;&lt;span class=""stat-value-2""&gt;"&amp;$S$8&amp;"&lt;/span&gt;&lt;/p&gt;"</f>
        <v>&lt;p class="stat-row-2"&gt;&lt;span class="stat-label-2"&gt;Blocks&lt;/span&gt;&lt;span class="stat-value-2"&gt;&lt;/span&gt;&lt;/p&gt;</v>
      </c>
      <c r="J153" s="3" t="str">
        <f>"&lt;p class=""stat-row-2""&gt;&lt;span class=""stat-label-2""&gt;Blocks&lt;/span&gt;&lt;span class=""stat-value-2""&gt;"&amp;$S$23&amp;"&lt;/span&gt;&lt;/p&gt;"</f>
        <v>&lt;p class="stat-row-2"&gt;&lt;span class="stat-label-2"&gt;Blocks&lt;/span&gt;&lt;span class="stat-value-2"&gt;&lt;/span&gt;&lt;/p&gt;</v>
      </c>
      <c r="K153" s="3" t="str">
        <f>"&lt;p class=""stat-row-2""&gt;&lt;span class=""stat-label-2""&gt;Blocks&lt;/span&gt;&lt;span class=""stat-value-2""&gt;"&amp;$S$20&amp;"&lt;/span&gt;&lt;/p&gt;"</f>
        <v>&lt;p class="stat-row-2"&gt;&lt;span class="stat-label-2"&gt;Blocks&lt;/span&gt;&lt;span class="stat-value-2"&gt;&lt;/span&gt;&lt;/p&gt;</v>
      </c>
      <c r="L153" s="3" t="str">
        <f>"&lt;p class=""stat-row-2""&gt;&lt;span class=""stat-label-2""&gt;Blocks&lt;/span&gt;&lt;span class=""stat-value-2""&gt;"&amp;$S$14&amp;"&lt;/span&gt;&lt;/p&gt;"</f>
        <v>&lt;p class="stat-row-2"&gt;&lt;span class="stat-label-2"&gt;Blocks&lt;/span&gt;&lt;span class="stat-value-2"&gt;&lt;/span&gt;&lt;/p&gt;</v>
      </c>
      <c r="M153" s="3" t="str">
        <f>"&lt;p class=""stat-row-2""&gt;&lt;span class=""stat-label-2""&gt;Blocks&lt;/span&gt;&lt;span class=""stat-value-2""&gt;"&amp;$S$21&amp;"&lt;/span&gt;&lt;/p&gt;"</f>
        <v>&lt;p class="stat-row-2"&gt;&lt;span class="stat-label-2"&gt;Blocks&lt;/span&gt;&lt;span class="stat-value-2"&gt;&lt;/span&gt;&lt;/p&gt;</v>
      </c>
      <c r="N153" s="3" t="str">
        <f>"&lt;p class=""stat-row-2""&gt;&lt;span class=""stat-label-2""&gt;Blocks&lt;/span&gt;&lt;span class=""stat-value-2""&gt;"&amp;$S$11&amp;"&lt;/span&gt;&lt;/p&gt;"</f>
        <v>&lt;p class="stat-row-2"&gt;&lt;span class="stat-label-2"&gt;Blocks&lt;/span&gt;&lt;span class="stat-value-2"&gt;&lt;/span&gt;&lt;/p&gt;</v>
      </c>
      <c r="O153" s="3" t="str">
        <f>"&lt;p class=""stat-row-2""&gt;&lt;span class=""stat-label-2""&gt;Blocks&lt;/span&gt;&lt;span class=""stat-value-2""&gt;"&amp;$S$13&amp;"&lt;/span&gt;&lt;/p&gt;"</f>
        <v>&lt;p class="stat-row-2"&gt;&lt;span class="stat-label-2"&gt;Blocks&lt;/span&gt;&lt;span class="stat-value-2"&gt;&lt;/span&gt;&lt;/p&gt;</v>
      </c>
      <c r="P153" s="3" t="str">
        <f>"&lt;p class=""stat-row-2""&gt;&lt;span class=""stat-label-2""&gt;Blocks&lt;/span&gt;&lt;span class=""stat-value-2""&gt;"&amp;$S$5&amp;"&lt;/span&gt;&lt;/p&gt;"</f>
        <v>&lt;p class="stat-row-2"&gt;&lt;span class="stat-label-2"&gt;Blocks&lt;/span&gt;&lt;span class="stat-value-2"&gt;&lt;/span&gt;&lt;/p&gt;</v>
      </c>
      <c r="Q153" s="3" t="str">
        <f>"&lt;p class=""stat-row-2""&gt;&lt;span class=""stat-label-2""&gt;Blocks&lt;/span&gt;&lt;span class=""stat-value-2""&gt;"&amp;$S$10&amp;"&lt;/span&gt;&lt;/p&gt;"</f>
        <v>&lt;p class="stat-row-2"&gt;&lt;span class="stat-label-2"&gt;Blocks&lt;/span&gt;&lt;span class="stat-value-2"&gt;&lt;/span&gt;&lt;/p&gt;</v>
      </c>
      <c r="R153" s="3" t="str">
        <f>"&lt;p class=""stat-row-2""&gt;&lt;span class=""stat-label-2""&gt;Blocks&lt;/span&gt;&lt;span class=""stat-value-2""&gt;"&amp;$S$2&amp;"&lt;/span&gt;&lt;/p&gt;"</f>
        <v>&lt;p class="stat-row-2"&gt;&lt;span class="stat-label-2"&gt;Blocks&lt;/span&gt;&lt;span class="stat-value-2"&gt;&lt;/span&gt;&lt;/p&gt;</v>
      </c>
      <c r="S153" s="3" t="str">
        <f>"&lt;p class=""stat-row-2""&gt;&lt;span class=""stat-label-2""&gt;Blocks&lt;/span&gt;&lt;span class=""stat-value-2""&gt;"&amp;$S$19&amp;"&lt;/span&gt;&lt;/p&gt;"</f>
        <v>&lt;p class="stat-row-2"&gt;&lt;span class="stat-label-2"&gt;Blocks&lt;/span&gt;&lt;span class="stat-value-2"&gt;&lt;/span&gt;&lt;/p&gt;</v>
      </c>
      <c r="T153" s="3" t="str">
        <f>"&lt;p class=""stat-row-2""&gt;&lt;span class=""stat-label-2""&gt;Blocks&lt;/span&gt;&lt;span class=""stat-value-2""&gt;"&amp;$S$17&amp;"&lt;/span&gt;&lt;/p&gt;"</f>
        <v>&lt;p class="stat-row-2"&gt;&lt;span class="stat-label-2"&gt;Blocks&lt;/span&gt;&lt;span class="stat-value-2"&gt;&lt;/span&gt;&lt;/p&gt;</v>
      </c>
      <c r="U153" s="3" t="str">
        <f>"&lt;p class=""stat-row-2""&gt;&lt;span class=""stat-label-2""&gt;Blocks&lt;/span&gt;&lt;span class=""stat-value-2""&gt;"&amp;$S$18&amp;"&lt;/span&gt;&lt;/p&gt;"</f>
        <v>&lt;p class="stat-row-2"&gt;&lt;span class="stat-label-2"&gt;Blocks&lt;/span&gt;&lt;span class="stat-value-2"&gt;&lt;/span&gt;&lt;/p&gt;</v>
      </c>
      <c r="V153" s="3" t="str">
        <f>"&lt;p class=""stat-row-2""&gt;&lt;span class=""stat-label-2""&gt;Blocks&lt;/span&gt;&lt;span class=""stat-value-2""&gt;"&amp;$S$16&amp;"&lt;/span&gt;&lt;/p&gt;"</f>
        <v>&lt;p class="stat-row-2"&gt;&lt;span class="stat-label-2"&gt;Blocks&lt;/span&gt;&lt;span class="stat-value-2"&gt;&lt;/span&gt;&lt;/p&gt;</v>
      </c>
      <c r="W153" s="3" t="str">
        <f>"&lt;p class=""stat-row-2""&gt;&lt;span class=""stat-label-2""&gt;Blocks&lt;/span&gt;&lt;span class=""stat-value-2""&gt;"&amp;$S$6&amp;"&lt;/span&gt;&lt;/p&gt;"</f>
        <v>&lt;p class="stat-row-2"&gt;&lt;span class="stat-label-2"&gt;Blocks&lt;/span&gt;&lt;span class="stat-value-2"&gt;&lt;/span&gt;&lt;/p&gt;</v>
      </c>
    </row>
    <row r="154" spans="1:23" x14ac:dyDescent="0.3">
      <c r="A154" s="3" t="str">
        <f>"&lt;p class=""stat-row-2""&gt;&lt;span class=""stat-label-2""&gt;Clearances&lt;/span&gt;&lt;span class=""stat-value-2""&gt;"&amp;$T$4&amp;"&lt;/span&gt;&lt;/p&gt;"</f>
        <v>&lt;p class="stat-row-2"&gt;&lt;span class="stat-label-2"&gt;Clearances&lt;/span&gt;&lt;span class="stat-value-2"&gt;&lt;/span&gt;&lt;/p&gt;</v>
      </c>
      <c r="B154" s="3" t="str">
        <f>"&lt;p class=""stat-row-2""&gt;&lt;span class=""stat-label-2""&gt;Clearances&lt;/span&gt;&lt;span class=""stat-value-2""&gt;"&amp;$T$15&amp;"&lt;/span&gt;&lt;/p&gt;"</f>
        <v>&lt;p class="stat-row-2"&gt;&lt;span class="stat-label-2"&gt;Clearances&lt;/span&gt;&lt;span class="stat-value-2"&gt;&lt;/span&gt;&lt;/p&gt;</v>
      </c>
      <c r="C154" s="3" t="str">
        <f>"&lt;p class=""stat-row-2""&gt;&lt;span class=""stat-label-2""&gt;Clearances&lt;/span&gt;&lt;span class=""stat-value-2""&gt;"&amp;$T$9&amp;"&lt;/span&gt;&lt;/p&gt;"</f>
        <v>&lt;p class="stat-row-2"&gt;&lt;span class="stat-label-2"&gt;Clearances&lt;/span&gt;&lt;span class="stat-value-2"&gt;&lt;/span&gt;&lt;/p&gt;</v>
      </c>
      <c r="D154" s="3" t="str">
        <f>"&lt;p class=""stat-row-2""&gt;&lt;span class=""stat-label-2""&gt;Clearances&lt;/span&gt;&lt;span class=""stat-value-2""&gt;"&amp;$T$24&amp;"&lt;/span&gt;&lt;/p&gt;"</f>
        <v>&lt;p class="stat-row-2"&gt;&lt;span class="stat-label-2"&gt;Clearances&lt;/span&gt;&lt;span class="stat-value-2"&gt;&lt;/span&gt;&lt;/p&gt;</v>
      </c>
      <c r="E154" s="3" t="str">
        <f>"&lt;p class=""stat-row-2""&gt;&lt;span class=""stat-label-2""&gt;Clearances&lt;/span&gt;&lt;span class=""stat-value-2""&gt;"&amp;$T$12&amp;"&lt;/span&gt;&lt;/p&gt;"</f>
        <v>&lt;p class="stat-row-2"&gt;&lt;span class="stat-label-2"&gt;Clearances&lt;/span&gt;&lt;span class="stat-value-2"&gt;&lt;/span&gt;&lt;/p&gt;</v>
      </c>
      <c r="F154" s="3" t="str">
        <f>"&lt;p class=""stat-row-2""&gt;&lt;span class=""stat-label-2""&gt;Clearances&lt;/span&gt;&lt;span class=""stat-value-2""&gt;"&amp;$T$22&amp;"&lt;/span&gt;&lt;/p&gt;"</f>
        <v>&lt;p class="stat-row-2"&gt;&lt;span class="stat-label-2"&gt;Clearances&lt;/span&gt;&lt;span class="stat-value-2"&gt;&lt;/span&gt;&lt;/p&gt;</v>
      </c>
      <c r="G154" s="3" t="str">
        <f>"&lt;p class=""stat-row-2""&gt;&lt;span class=""stat-label-2""&gt;Clearances&lt;/span&gt;&lt;span class=""stat-value-2""&gt;"&amp;$T$3&amp;"&lt;/span&gt;&lt;/p&gt;"</f>
        <v>&lt;p class="stat-row-2"&gt;&lt;span class="stat-label-2"&gt;Clearances&lt;/span&gt;&lt;span class="stat-value-2"&gt;&lt;/span&gt;&lt;/p&gt;</v>
      </c>
      <c r="H154" s="3" t="str">
        <f>"&lt;p class=""stat-row-2""&gt;&lt;span class=""stat-label-2""&gt;Clearances&lt;/span&gt;&lt;span class=""stat-value-2""&gt;"&amp;$T$7&amp;"&lt;/span&gt;&lt;/p&gt;"</f>
        <v>&lt;p class="stat-row-2"&gt;&lt;span class="stat-label-2"&gt;Clearances&lt;/span&gt;&lt;span class="stat-value-2"&gt;&lt;/span&gt;&lt;/p&gt;</v>
      </c>
      <c r="I154" s="3" t="str">
        <f>"&lt;p class=""stat-row-2""&gt;&lt;span class=""stat-label-2""&gt;Clearances&lt;/span&gt;&lt;span class=""stat-value-2""&gt;"&amp;$T$8&amp;"&lt;/span&gt;&lt;/p&gt;"</f>
        <v>&lt;p class="stat-row-2"&gt;&lt;span class="stat-label-2"&gt;Clearances&lt;/span&gt;&lt;span class="stat-value-2"&gt;&lt;/span&gt;&lt;/p&gt;</v>
      </c>
      <c r="J154" s="3" t="str">
        <f>"&lt;p class=""stat-row-2""&gt;&lt;span class=""stat-label-2""&gt;Clearances&lt;/span&gt;&lt;span class=""stat-value-2""&gt;"&amp;$T$23&amp;"&lt;/span&gt;&lt;/p&gt;"</f>
        <v>&lt;p class="stat-row-2"&gt;&lt;span class="stat-label-2"&gt;Clearances&lt;/span&gt;&lt;span class="stat-value-2"&gt;&lt;/span&gt;&lt;/p&gt;</v>
      </c>
      <c r="K154" s="3" t="str">
        <f>"&lt;p class=""stat-row-2""&gt;&lt;span class=""stat-label-2""&gt;Clearances&lt;/span&gt;&lt;span class=""stat-value-2""&gt;"&amp;$T$20&amp;"&lt;/span&gt;&lt;/p&gt;"</f>
        <v>&lt;p class="stat-row-2"&gt;&lt;span class="stat-label-2"&gt;Clearances&lt;/span&gt;&lt;span class="stat-value-2"&gt;&lt;/span&gt;&lt;/p&gt;</v>
      </c>
      <c r="L154" s="3" t="str">
        <f>"&lt;p class=""stat-row-2""&gt;&lt;span class=""stat-label-2""&gt;Clearances&lt;/span&gt;&lt;span class=""stat-value-2""&gt;"&amp;$T$14&amp;"&lt;/span&gt;&lt;/p&gt;"</f>
        <v>&lt;p class="stat-row-2"&gt;&lt;span class="stat-label-2"&gt;Clearances&lt;/span&gt;&lt;span class="stat-value-2"&gt;&lt;/span&gt;&lt;/p&gt;</v>
      </c>
      <c r="M154" s="3" t="str">
        <f>"&lt;p class=""stat-row-2""&gt;&lt;span class=""stat-label-2""&gt;Clearances&lt;/span&gt;&lt;span class=""stat-value-2""&gt;"&amp;$T$21&amp;"&lt;/span&gt;&lt;/p&gt;"</f>
        <v>&lt;p class="stat-row-2"&gt;&lt;span class="stat-label-2"&gt;Clearances&lt;/span&gt;&lt;span class="stat-value-2"&gt;&lt;/span&gt;&lt;/p&gt;</v>
      </c>
      <c r="N154" s="3" t="str">
        <f>"&lt;p class=""stat-row-2""&gt;&lt;span class=""stat-label-2""&gt;Clearances&lt;/span&gt;&lt;span class=""stat-value-2""&gt;"&amp;$T$11&amp;"&lt;/span&gt;&lt;/p&gt;"</f>
        <v>&lt;p class="stat-row-2"&gt;&lt;span class="stat-label-2"&gt;Clearances&lt;/span&gt;&lt;span class="stat-value-2"&gt;&lt;/span&gt;&lt;/p&gt;</v>
      </c>
      <c r="O154" s="3" t="str">
        <f>"&lt;p class=""stat-row-2""&gt;&lt;span class=""stat-label-2""&gt;Clearances&lt;/span&gt;&lt;span class=""stat-value-2""&gt;"&amp;$T$13&amp;"&lt;/span&gt;&lt;/p&gt;"</f>
        <v>&lt;p class="stat-row-2"&gt;&lt;span class="stat-label-2"&gt;Clearances&lt;/span&gt;&lt;span class="stat-value-2"&gt;&lt;/span&gt;&lt;/p&gt;</v>
      </c>
      <c r="P154" s="3" t="str">
        <f>"&lt;p class=""stat-row-2""&gt;&lt;span class=""stat-label-2""&gt;Clearances&lt;/span&gt;&lt;span class=""stat-value-2""&gt;"&amp;$T$5&amp;"&lt;/span&gt;&lt;/p&gt;"</f>
        <v>&lt;p class="stat-row-2"&gt;&lt;span class="stat-label-2"&gt;Clearances&lt;/span&gt;&lt;span class="stat-value-2"&gt;&lt;/span&gt;&lt;/p&gt;</v>
      </c>
      <c r="Q154" s="3" t="str">
        <f>"&lt;p class=""stat-row-2""&gt;&lt;span class=""stat-label-2""&gt;Clearances&lt;/span&gt;&lt;span class=""stat-value-2""&gt;"&amp;$T$10&amp;"&lt;/span&gt;&lt;/p&gt;"</f>
        <v>&lt;p class="stat-row-2"&gt;&lt;span class="stat-label-2"&gt;Clearances&lt;/span&gt;&lt;span class="stat-value-2"&gt;&lt;/span&gt;&lt;/p&gt;</v>
      </c>
      <c r="R154" s="3" t="str">
        <f>"&lt;p class=""stat-row-2""&gt;&lt;span class=""stat-label-2""&gt;Clearances&lt;/span&gt;&lt;span class=""stat-value-2""&gt;"&amp;$T$2&amp;"&lt;/span&gt;&lt;/p&gt;"</f>
        <v>&lt;p class="stat-row-2"&gt;&lt;span class="stat-label-2"&gt;Clearances&lt;/span&gt;&lt;span class="stat-value-2"&gt;&lt;/span&gt;&lt;/p&gt;</v>
      </c>
      <c r="S154" s="3" t="str">
        <f>"&lt;p class=""stat-row-2""&gt;&lt;span class=""stat-label-2""&gt;Clearances&lt;/span&gt;&lt;span class=""stat-value-2""&gt;"&amp;$T$19&amp;"&lt;/span&gt;&lt;/p&gt;"</f>
        <v>&lt;p class="stat-row-2"&gt;&lt;span class="stat-label-2"&gt;Clearances&lt;/span&gt;&lt;span class="stat-value-2"&gt;&lt;/span&gt;&lt;/p&gt;</v>
      </c>
      <c r="T154" s="3" t="str">
        <f>"&lt;p class=""stat-row-2""&gt;&lt;span class=""stat-label-2""&gt;Clearances&lt;/span&gt;&lt;span class=""stat-value-2""&gt;"&amp;$T$17&amp;"&lt;/span&gt;&lt;/p&gt;"</f>
        <v>&lt;p class="stat-row-2"&gt;&lt;span class="stat-label-2"&gt;Clearances&lt;/span&gt;&lt;span class="stat-value-2"&gt;&lt;/span&gt;&lt;/p&gt;</v>
      </c>
      <c r="U154" s="3" t="str">
        <f>"&lt;p class=""stat-row-2""&gt;&lt;span class=""stat-label-2""&gt;Clearances&lt;/span&gt;&lt;span class=""stat-value-2""&gt;"&amp;$T$18&amp;"&lt;/span&gt;&lt;/p&gt;"</f>
        <v>&lt;p class="stat-row-2"&gt;&lt;span class="stat-label-2"&gt;Clearances&lt;/span&gt;&lt;span class="stat-value-2"&gt;&lt;/span&gt;&lt;/p&gt;</v>
      </c>
      <c r="V154" s="3" t="str">
        <f>"&lt;p class=""stat-row-2""&gt;&lt;span class=""stat-label-2""&gt;Clearances&lt;/span&gt;&lt;span class=""stat-value-2""&gt;"&amp;$T$16&amp;"&lt;/span&gt;&lt;/p&gt;"</f>
        <v>&lt;p class="stat-row-2"&gt;&lt;span class="stat-label-2"&gt;Clearances&lt;/span&gt;&lt;span class="stat-value-2"&gt;&lt;/span&gt;&lt;/p&gt;</v>
      </c>
      <c r="W154" s="3" t="str">
        <f>"&lt;p class=""stat-row-2""&gt;&lt;span class=""stat-label-2""&gt;Clearances&lt;/span&gt;&lt;span class=""stat-value-2""&gt;"&amp;$T$6&amp;"&lt;/span&gt;&lt;/p&gt;"</f>
        <v>&lt;p class="stat-row-2"&gt;&lt;span class="stat-label-2"&gt;Clearances&lt;/span&gt;&lt;span class="stat-value-2"&gt;&lt;/span&gt;&lt;/p&gt;</v>
      </c>
    </row>
    <row r="155" spans="1:23" x14ac:dyDescent="0.3">
      <c r="A155" s="3" t="str">
        <f>"&lt;p class=""stat-row-2""&gt;&lt;span class=""stat-label-2""&gt;Separations&lt;/span&gt;&lt;span class=""stat-value-2""&gt;"&amp;$U$4&amp;"&lt;/span&gt;&lt;/p&gt;"</f>
        <v>&lt;p class="stat-row-2"&gt;&lt;span class="stat-label-2"&gt;Separations&lt;/span&gt;&lt;span class="stat-value-2"&gt;&lt;/span&gt;&lt;/p&gt;</v>
      </c>
      <c r="B155" s="3" t="str">
        <f>"&lt;p class=""stat-row-2""&gt;&lt;span class=""stat-label-2""&gt;Separations&lt;/span&gt;&lt;span class=""stat-value-2""&gt;"&amp;$U$15&amp;"&lt;/span&gt;&lt;/p&gt;"</f>
        <v>&lt;p class="stat-row-2"&gt;&lt;span class="stat-label-2"&gt;Separations&lt;/span&gt;&lt;span class="stat-value-2"&gt;&lt;/span&gt;&lt;/p&gt;</v>
      </c>
      <c r="C155" s="3" t="str">
        <f>"&lt;p class=""stat-row-2""&gt;&lt;span class=""stat-label-2""&gt;Separations&lt;/span&gt;&lt;span class=""stat-value-2""&gt;"&amp;$U$9&amp;"&lt;/span&gt;&lt;/p&gt;"</f>
        <v>&lt;p class="stat-row-2"&gt;&lt;span class="stat-label-2"&gt;Separations&lt;/span&gt;&lt;span class="stat-value-2"&gt;&lt;/span&gt;&lt;/p&gt;</v>
      </c>
      <c r="D155" s="3" t="str">
        <f>"&lt;p class=""stat-row-2""&gt;&lt;span class=""stat-label-2""&gt;Separations&lt;/span&gt;&lt;span class=""stat-value-2""&gt;"&amp;$U$24&amp;"&lt;/span&gt;&lt;/p&gt;"</f>
        <v>&lt;p class="stat-row-2"&gt;&lt;span class="stat-label-2"&gt;Separations&lt;/span&gt;&lt;span class="stat-value-2"&gt;&lt;/span&gt;&lt;/p&gt;</v>
      </c>
      <c r="E155" s="3" t="str">
        <f>"&lt;p class=""stat-row-2""&gt;&lt;span class=""stat-label-2""&gt;Separations&lt;/span&gt;&lt;span class=""stat-value-2""&gt;"&amp;$U$12&amp;"&lt;/span&gt;&lt;/p&gt;"</f>
        <v>&lt;p class="stat-row-2"&gt;&lt;span class="stat-label-2"&gt;Separations&lt;/span&gt;&lt;span class="stat-value-2"&gt;&lt;/span&gt;&lt;/p&gt;</v>
      </c>
      <c r="F155" s="3" t="str">
        <f>"&lt;p class=""stat-row-2""&gt;&lt;span class=""stat-label-2""&gt;Separations&lt;/span&gt;&lt;span class=""stat-value-2""&gt;"&amp;$U$22&amp;"&lt;/span&gt;&lt;/p&gt;"</f>
        <v>&lt;p class="stat-row-2"&gt;&lt;span class="stat-label-2"&gt;Separations&lt;/span&gt;&lt;span class="stat-value-2"&gt;&lt;/span&gt;&lt;/p&gt;</v>
      </c>
      <c r="G155" s="3" t="str">
        <f>"&lt;p class=""stat-row-2""&gt;&lt;span class=""stat-label-2""&gt;Separations&lt;/span&gt;&lt;span class=""stat-value-2""&gt;"&amp;$U$3&amp;"&lt;/span&gt;&lt;/p&gt;"</f>
        <v>&lt;p class="stat-row-2"&gt;&lt;span class="stat-label-2"&gt;Separations&lt;/span&gt;&lt;span class="stat-value-2"&gt;&lt;/span&gt;&lt;/p&gt;</v>
      </c>
      <c r="H155" s="3" t="str">
        <f>"&lt;p class=""stat-row-2""&gt;&lt;span class=""stat-label-2""&gt;Separations&lt;/span&gt;&lt;span class=""stat-value-2""&gt;"&amp;$U$7&amp;"&lt;/span&gt;&lt;/p&gt;"</f>
        <v>&lt;p class="stat-row-2"&gt;&lt;span class="stat-label-2"&gt;Separations&lt;/span&gt;&lt;span class="stat-value-2"&gt;&lt;/span&gt;&lt;/p&gt;</v>
      </c>
      <c r="I155" s="3" t="str">
        <f>"&lt;p class=""stat-row-2""&gt;&lt;span class=""stat-label-2""&gt;Separations&lt;/span&gt;&lt;span class=""stat-value-2""&gt;"&amp;$U$8&amp;"&lt;/span&gt;&lt;/p&gt;"</f>
        <v>&lt;p class="stat-row-2"&gt;&lt;span class="stat-label-2"&gt;Separations&lt;/span&gt;&lt;span class="stat-value-2"&gt;&lt;/span&gt;&lt;/p&gt;</v>
      </c>
      <c r="J155" s="3" t="str">
        <f>"&lt;p class=""stat-row-2""&gt;&lt;span class=""stat-label-2""&gt;Separations&lt;/span&gt;&lt;span class=""stat-value-2""&gt;"&amp;$U$23&amp;"&lt;/span&gt;&lt;/p&gt;"</f>
        <v>&lt;p class="stat-row-2"&gt;&lt;span class="stat-label-2"&gt;Separations&lt;/span&gt;&lt;span class="stat-value-2"&gt;&lt;/span&gt;&lt;/p&gt;</v>
      </c>
      <c r="K155" s="3" t="str">
        <f>"&lt;p class=""stat-row-2""&gt;&lt;span class=""stat-label-2""&gt;Separations&lt;/span&gt;&lt;span class=""stat-value-2""&gt;"&amp;$U$20&amp;"&lt;/span&gt;&lt;/p&gt;"</f>
        <v>&lt;p class="stat-row-2"&gt;&lt;span class="stat-label-2"&gt;Separations&lt;/span&gt;&lt;span class="stat-value-2"&gt;&lt;/span&gt;&lt;/p&gt;</v>
      </c>
      <c r="L155" s="3" t="str">
        <f>"&lt;p class=""stat-row-2""&gt;&lt;span class=""stat-label-2""&gt;Separations&lt;/span&gt;&lt;span class=""stat-value-2""&gt;"&amp;$U$14&amp;"&lt;/span&gt;&lt;/p&gt;"</f>
        <v>&lt;p class="stat-row-2"&gt;&lt;span class="stat-label-2"&gt;Separations&lt;/span&gt;&lt;span class="stat-value-2"&gt;&lt;/span&gt;&lt;/p&gt;</v>
      </c>
      <c r="M155" s="3" t="str">
        <f>"&lt;p class=""stat-row-2""&gt;&lt;span class=""stat-label-2""&gt;Separations&lt;/span&gt;&lt;span class=""stat-value-2""&gt;"&amp;$U$21&amp;"&lt;/span&gt;&lt;/p&gt;"</f>
        <v>&lt;p class="stat-row-2"&gt;&lt;span class="stat-label-2"&gt;Separations&lt;/span&gt;&lt;span class="stat-value-2"&gt;&lt;/span&gt;&lt;/p&gt;</v>
      </c>
      <c r="N155" s="3" t="str">
        <f>"&lt;p class=""stat-row-2""&gt;&lt;span class=""stat-label-2""&gt;Separations&lt;/span&gt;&lt;span class=""stat-value-2""&gt;"&amp;$U$11&amp;"&lt;/span&gt;&lt;/p&gt;"</f>
        <v>&lt;p class="stat-row-2"&gt;&lt;span class="stat-label-2"&gt;Separations&lt;/span&gt;&lt;span class="stat-value-2"&gt;&lt;/span&gt;&lt;/p&gt;</v>
      </c>
      <c r="O155" s="3" t="str">
        <f>"&lt;p class=""stat-row-2""&gt;&lt;span class=""stat-label-2""&gt;Separations&lt;/span&gt;&lt;span class=""stat-value-2""&gt;"&amp;$U$13&amp;"&lt;/span&gt;&lt;/p&gt;"</f>
        <v>&lt;p class="stat-row-2"&gt;&lt;span class="stat-label-2"&gt;Separations&lt;/span&gt;&lt;span class="stat-value-2"&gt;&lt;/span&gt;&lt;/p&gt;</v>
      </c>
      <c r="P155" s="3" t="str">
        <f>"&lt;p class=""stat-row-2""&gt;&lt;span class=""stat-label-2""&gt;Separations&lt;/span&gt;&lt;span class=""stat-value-2""&gt;"&amp;$U$5&amp;"&lt;/span&gt;&lt;/p&gt;"</f>
        <v>&lt;p class="stat-row-2"&gt;&lt;span class="stat-label-2"&gt;Separations&lt;/span&gt;&lt;span class="stat-value-2"&gt;&lt;/span&gt;&lt;/p&gt;</v>
      </c>
      <c r="Q155" s="3" t="str">
        <f>"&lt;p class=""stat-row-2""&gt;&lt;span class=""stat-label-2""&gt;Separations&lt;/span&gt;&lt;span class=""stat-value-2""&gt;"&amp;$U$10&amp;"&lt;/span&gt;&lt;/p&gt;"</f>
        <v>&lt;p class="stat-row-2"&gt;&lt;span class="stat-label-2"&gt;Separations&lt;/span&gt;&lt;span class="stat-value-2"&gt;&lt;/span&gt;&lt;/p&gt;</v>
      </c>
      <c r="R155" s="3" t="str">
        <f>"&lt;p class=""stat-row-2""&gt;&lt;span class=""stat-label-2""&gt;Separations&lt;/span&gt;&lt;span class=""stat-value-2""&gt;"&amp;$U$2&amp;"&lt;/span&gt;&lt;/p&gt;"</f>
        <v>&lt;p class="stat-row-2"&gt;&lt;span class="stat-label-2"&gt;Separations&lt;/span&gt;&lt;span class="stat-value-2"&gt;&lt;/span&gt;&lt;/p&gt;</v>
      </c>
      <c r="S155" s="3" t="str">
        <f>"&lt;p class=""stat-row-2""&gt;&lt;span class=""stat-label-2""&gt;Separations&lt;/span&gt;&lt;span class=""stat-value-2""&gt;"&amp;$U$19&amp;"&lt;/span&gt;&lt;/p&gt;"</f>
        <v>&lt;p class="stat-row-2"&gt;&lt;span class="stat-label-2"&gt;Separations&lt;/span&gt;&lt;span class="stat-value-2"&gt;&lt;/span&gt;&lt;/p&gt;</v>
      </c>
      <c r="T155" s="3" t="str">
        <f>"&lt;p class=""stat-row-2""&gt;&lt;span class=""stat-label-2""&gt;Separations&lt;/span&gt;&lt;span class=""stat-value-2""&gt;"&amp;$U$17&amp;"&lt;/span&gt;&lt;/p&gt;"</f>
        <v>&lt;p class="stat-row-2"&gt;&lt;span class="stat-label-2"&gt;Separations&lt;/span&gt;&lt;span class="stat-value-2"&gt;&lt;/span&gt;&lt;/p&gt;</v>
      </c>
      <c r="U155" s="3" t="str">
        <f>"&lt;p class=""stat-row-2""&gt;&lt;span class=""stat-label-2""&gt;Separations&lt;/span&gt;&lt;span class=""stat-value-2""&gt;"&amp;$U$18&amp;"&lt;/span&gt;&lt;/p&gt;"</f>
        <v>&lt;p class="stat-row-2"&gt;&lt;span class="stat-label-2"&gt;Separations&lt;/span&gt;&lt;span class="stat-value-2"&gt;&lt;/span&gt;&lt;/p&gt;</v>
      </c>
      <c r="V155" s="3" t="str">
        <f>"&lt;p class=""stat-row-2""&gt;&lt;span class=""stat-label-2""&gt;Separations&lt;/span&gt;&lt;span class=""stat-value-2""&gt;"&amp;$U$16&amp;"&lt;/span&gt;&lt;/p&gt;"</f>
        <v>&lt;p class="stat-row-2"&gt;&lt;span class="stat-label-2"&gt;Separations&lt;/span&gt;&lt;span class="stat-value-2"&gt;&lt;/span&gt;&lt;/p&gt;</v>
      </c>
      <c r="W155" s="3" t="str">
        <f>"&lt;p class=""stat-row-2""&gt;&lt;span class=""stat-label-2""&gt;Separations&lt;/span&gt;&lt;span class=""stat-value-2""&gt;"&amp;$U$6&amp;"&lt;/span&gt;&lt;/p&gt;"</f>
        <v>&lt;p class="stat-row-2"&gt;&lt;span class="stat-label-2"&gt;Separations&lt;/span&gt;&lt;span class="stat-value-2"&gt;&lt;/span&gt;&lt;/p&gt;</v>
      </c>
    </row>
    <row r="156" spans="1:23" x14ac:dyDescent="0.3">
      <c r="A156" s="3" t="str">
        <f>"&lt;p class=""stat-row-2""&gt;&lt;span class=""stat-label-2""&gt;Headers&lt;/span&gt;&lt;span class=""stat-value-2""&gt;"&amp;$V$4&amp;"&lt;/span&gt;&lt;/p&gt;"</f>
        <v>&lt;p class="stat-row-2"&gt;&lt;span class="stat-label-2"&gt;Headers&lt;/span&gt;&lt;span class="stat-value-2"&gt;&lt;/span&gt;&lt;/p&gt;</v>
      </c>
      <c r="B156" s="3" t="str">
        <f>"&lt;p class=""stat-row-2""&gt;&lt;span class=""stat-label-2""&gt;Headers&lt;/span&gt;&lt;span class=""stat-value-2""&gt;"&amp;$V$15&amp;"&lt;/span&gt;&lt;/p&gt;"</f>
        <v>&lt;p class="stat-row-2"&gt;&lt;span class="stat-label-2"&gt;Headers&lt;/span&gt;&lt;span class="stat-value-2"&gt;&lt;/span&gt;&lt;/p&gt;</v>
      </c>
      <c r="C156" s="3" t="str">
        <f>"&lt;p class=""stat-row-2""&gt;&lt;span class=""stat-label-2""&gt;Headers&lt;/span&gt;&lt;span class=""stat-value-2""&gt;"&amp;$V$9&amp;"&lt;/span&gt;&lt;/p&gt;"</f>
        <v>&lt;p class="stat-row-2"&gt;&lt;span class="stat-label-2"&gt;Headers&lt;/span&gt;&lt;span class="stat-value-2"&gt;&lt;/span&gt;&lt;/p&gt;</v>
      </c>
      <c r="D156" s="3" t="str">
        <f>"&lt;p class=""stat-row-2""&gt;&lt;span class=""stat-label-2""&gt;Headers&lt;/span&gt;&lt;span class=""stat-value-2""&gt;"&amp;$V$24&amp;"&lt;/span&gt;&lt;/p&gt;"</f>
        <v>&lt;p class="stat-row-2"&gt;&lt;span class="stat-label-2"&gt;Headers&lt;/span&gt;&lt;span class="stat-value-2"&gt;&lt;/span&gt;&lt;/p&gt;</v>
      </c>
      <c r="E156" s="3" t="str">
        <f>"&lt;p class=""stat-row-2""&gt;&lt;span class=""stat-label-2""&gt;Headers&lt;/span&gt;&lt;span class=""stat-value-2""&gt;"&amp;$V$12&amp;"&lt;/span&gt;&lt;/p&gt;"</f>
        <v>&lt;p class="stat-row-2"&gt;&lt;span class="stat-label-2"&gt;Headers&lt;/span&gt;&lt;span class="stat-value-2"&gt;&lt;/span&gt;&lt;/p&gt;</v>
      </c>
      <c r="F156" s="3" t="str">
        <f>"&lt;p class=""stat-row-2""&gt;&lt;span class=""stat-label-2""&gt;Headers&lt;/span&gt;&lt;span class=""stat-value-2""&gt;"&amp;$V$22&amp;"&lt;/span&gt;&lt;/p&gt;"</f>
        <v>&lt;p class="stat-row-2"&gt;&lt;span class="stat-label-2"&gt;Headers&lt;/span&gt;&lt;span class="stat-value-2"&gt;&lt;/span&gt;&lt;/p&gt;</v>
      </c>
      <c r="G156" s="3" t="str">
        <f>"&lt;p class=""stat-row-2""&gt;&lt;span class=""stat-label-2""&gt;Headers&lt;/span&gt;&lt;span class=""stat-value-2""&gt;"&amp;$V$3&amp;"&lt;/span&gt;&lt;/p&gt;"</f>
        <v>&lt;p class="stat-row-2"&gt;&lt;span class="stat-label-2"&gt;Headers&lt;/span&gt;&lt;span class="stat-value-2"&gt;&lt;/span&gt;&lt;/p&gt;</v>
      </c>
      <c r="H156" s="3" t="str">
        <f>"&lt;p class=""stat-row-2""&gt;&lt;span class=""stat-label-2""&gt;Headers&lt;/span&gt;&lt;span class=""stat-value-2""&gt;"&amp;$V$7&amp;"&lt;/span&gt;&lt;/p&gt;"</f>
        <v>&lt;p class="stat-row-2"&gt;&lt;span class="stat-label-2"&gt;Headers&lt;/span&gt;&lt;span class="stat-value-2"&gt;&lt;/span&gt;&lt;/p&gt;</v>
      </c>
      <c r="I156" s="3" t="str">
        <f>"&lt;p class=""stat-row-2""&gt;&lt;span class=""stat-label-2""&gt;Headers&lt;/span&gt;&lt;span class=""stat-value-2""&gt;"&amp;$V$8&amp;"&lt;/span&gt;&lt;/p&gt;"</f>
        <v>&lt;p class="stat-row-2"&gt;&lt;span class="stat-label-2"&gt;Headers&lt;/span&gt;&lt;span class="stat-value-2"&gt;&lt;/span&gt;&lt;/p&gt;</v>
      </c>
      <c r="J156" s="3" t="str">
        <f>"&lt;p class=""stat-row-2""&gt;&lt;span class=""stat-label-2""&gt;Headers&lt;/span&gt;&lt;span class=""stat-value-2""&gt;"&amp;$V$23&amp;"&lt;/span&gt;&lt;/p&gt;"</f>
        <v>&lt;p class="stat-row-2"&gt;&lt;span class="stat-label-2"&gt;Headers&lt;/span&gt;&lt;span class="stat-value-2"&gt;&lt;/span&gt;&lt;/p&gt;</v>
      </c>
      <c r="K156" s="3" t="str">
        <f>"&lt;p class=""stat-row-2""&gt;&lt;span class=""stat-label-2""&gt;Headers&lt;/span&gt;&lt;span class=""stat-value-2""&gt;"&amp;$V$20&amp;"&lt;/span&gt;&lt;/p&gt;"</f>
        <v>&lt;p class="stat-row-2"&gt;&lt;span class="stat-label-2"&gt;Headers&lt;/span&gt;&lt;span class="stat-value-2"&gt;&lt;/span&gt;&lt;/p&gt;</v>
      </c>
      <c r="L156" s="3" t="str">
        <f>"&lt;p class=""stat-row-2""&gt;&lt;span class=""stat-label-2""&gt;Headers&lt;/span&gt;&lt;span class=""stat-value-2""&gt;"&amp;$V$14&amp;"&lt;/span&gt;&lt;/p&gt;"</f>
        <v>&lt;p class="stat-row-2"&gt;&lt;span class="stat-label-2"&gt;Headers&lt;/span&gt;&lt;span class="stat-value-2"&gt;&lt;/span&gt;&lt;/p&gt;</v>
      </c>
      <c r="M156" s="3" t="str">
        <f>"&lt;p class=""stat-row-2""&gt;&lt;span class=""stat-label-2""&gt;Headers&lt;/span&gt;&lt;span class=""stat-value-2""&gt;"&amp;$V$21&amp;"&lt;/span&gt;&lt;/p&gt;"</f>
        <v>&lt;p class="stat-row-2"&gt;&lt;span class="stat-label-2"&gt;Headers&lt;/span&gt;&lt;span class="stat-value-2"&gt;&lt;/span&gt;&lt;/p&gt;</v>
      </c>
      <c r="N156" s="3" t="str">
        <f>"&lt;p class=""stat-row-2""&gt;&lt;span class=""stat-label-2""&gt;Headers&lt;/span&gt;&lt;span class=""stat-value-2""&gt;"&amp;$V$11&amp;"&lt;/span&gt;&lt;/p&gt;"</f>
        <v>&lt;p class="stat-row-2"&gt;&lt;span class="stat-label-2"&gt;Headers&lt;/span&gt;&lt;span class="stat-value-2"&gt;&lt;/span&gt;&lt;/p&gt;</v>
      </c>
      <c r="O156" s="3" t="str">
        <f>"&lt;p class=""stat-row-2""&gt;&lt;span class=""stat-label-2""&gt;Headers&lt;/span&gt;&lt;span class=""stat-value-2""&gt;"&amp;$V$13&amp;"&lt;/span&gt;&lt;/p&gt;"</f>
        <v>&lt;p class="stat-row-2"&gt;&lt;span class="stat-label-2"&gt;Headers&lt;/span&gt;&lt;span class="stat-value-2"&gt;&lt;/span&gt;&lt;/p&gt;</v>
      </c>
      <c r="P156" s="3" t="str">
        <f>"&lt;p class=""stat-row-2""&gt;&lt;span class=""stat-label-2""&gt;Headers&lt;/span&gt;&lt;span class=""stat-value-2""&gt;"&amp;$V$5&amp;"&lt;/span&gt;&lt;/p&gt;"</f>
        <v>&lt;p class="stat-row-2"&gt;&lt;span class="stat-label-2"&gt;Headers&lt;/span&gt;&lt;span class="stat-value-2"&gt;&lt;/span&gt;&lt;/p&gt;</v>
      </c>
      <c r="Q156" s="3" t="str">
        <f>"&lt;p class=""stat-row-2""&gt;&lt;span class=""stat-label-2""&gt;Headers&lt;/span&gt;&lt;span class=""stat-value-2""&gt;"&amp;$V$10&amp;"&lt;/span&gt;&lt;/p&gt;"</f>
        <v>&lt;p class="stat-row-2"&gt;&lt;span class="stat-label-2"&gt;Headers&lt;/span&gt;&lt;span class="stat-value-2"&gt;&lt;/span&gt;&lt;/p&gt;</v>
      </c>
      <c r="R156" s="3" t="str">
        <f>"&lt;p class=""stat-row-2""&gt;&lt;span class=""stat-label-2""&gt;Headers&lt;/span&gt;&lt;span class=""stat-value-2""&gt;"&amp;$V$2&amp;"&lt;/span&gt;&lt;/p&gt;"</f>
        <v>&lt;p class="stat-row-2"&gt;&lt;span class="stat-label-2"&gt;Headers&lt;/span&gt;&lt;span class="stat-value-2"&gt;&lt;/span&gt;&lt;/p&gt;</v>
      </c>
      <c r="S156" s="3" t="str">
        <f>"&lt;p class=""stat-row-2""&gt;&lt;span class=""stat-label-2""&gt;Headers&lt;/span&gt;&lt;span class=""stat-value-2""&gt;"&amp;$V$19&amp;"&lt;/span&gt;&lt;/p&gt;"</f>
        <v>&lt;p class="stat-row-2"&gt;&lt;span class="stat-label-2"&gt;Headers&lt;/span&gt;&lt;span class="stat-value-2"&gt;&lt;/span&gt;&lt;/p&gt;</v>
      </c>
      <c r="T156" s="3" t="str">
        <f>"&lt;p class=""stat-row-2""&gt;&lt;span class=""stat-label-2""&gt;Headers&lt;/span&gt;&lt;span class=""stat-value-2""&gt;"&amp;$V$17&amp;"&lt;/span&gt;&lt;/p&gt;"</f>
        <v>&lt;p class="stat-row-2"&gt;&lt;span class="stat-label-2"&gt;Headers&lt;/span&gt;&lt;span class="stat-value-2"&gt;&lt;/span&gt;&lt;/p&gt;</v>
      </c>
      <c r="U156" s="3" t="str">
        <f>"&lt;p class=""stat-row-2""&gt;&lt;span class=""stat-label-2""&gt;Headers&lt;/span&gt;&lt;span class=""stat-value-2""&gt;"&amp;$V$18&amp;"&lt;/span&gt;&lt;/p&gt;"</f>
        <v>&lt;p class="stat-row-2"&gt;&lt;span class="stat-label-2"&gt;Headers&lt;/span&gt;&lt;span class="stat-value-2"&gt;&lt;/span&gt;&lt;/p&gt;</v>
      </c>
      <c r="V156" s="3" t="str">
        <f>"&lt;p class=""stat-row-2""&gt;&lt;span class=""stat-label-2""&gt;Headers&lt;/span&gt;&lt;span class=""stat-value-2""&gt;"&amp;$V$16&amp;"&lt;/span&gt;&lt;/p&gt;"</f>
        <v>&lt;p class="stat-row-2"&gt;&lt;span class="stat-label-2"&gt;Headers&lt;/span&gt;&lt;span class="stat-value-2"&gt;&lt;/span&gt;&lt;/p&gt;</v>
      </c>
      <c r="W156" s="3" t="str">
        <f>"&lt;p class=""stat-row-2""&gt;&lt;span class=""stat-label-2""&gt;Headers&lt;/span&gt;&lt;span class=""stat-value-2""&gt;"&amp;$V$6&amp;"&lt;/span&gt;&lt;/p&gt;"</f>
        <v>&lt;p class="stat-row-2"&gt;&lt;span class="stat-label-2"&gt;Headers&lt;/span&gt;&lt;span class="stat-value-2"&gt;&lt;/span&gt;&lt;/p&gt;</v>
      </c>
    </row>
    <row r="157" spans="1:23" x14ac:dyDescent="0.3">
      <c r="A157" s="3" t="str">
        <f>"&lt;p class=""stat-row-2""&gt;&lt;span class=""stat-label-2""&gt;Stop FWD/CA&lt;/span&gt;&lt;span class=""stat-value-2""&gt;"&amp;$W$4&amp;"&lt;/span&gt;&lt;/p&gt;"</f>
        <v>&lt;p class="stat-row-2"&gt;&lt;span class="stat-label-2"&gt;Stop FWD/CA&lt;/span&gt;&lt;span class="stat-value-2"&gt;&lt;/span&gt;&lt;/p&gt;</v>
      </c>
      <c r="B157" s="3" t="str">
        <f>"&lt;p class=""stat-row-2""&gt;&lt;span class=""stat-label-2""&gt;Stop FWD/CA&lt;/span&gt;&lt;span class=""stat-value-2""&gt;"&amp;$W$15&amp;"&lt;/span&gt;&lt;/p&gt;"</f>
        <v>&lt;p class="stat-row-2"&gt;&lt;span class="stat-label-2"&gt;Stop FWD/CA&lt;/span&gt;&lt;span class="stat-value-2"&gt;&lt;/span&gt;&lt;/p&gt;</v>
      </c>
      <c r="C157" s="3" t="str">
        <f>"&lt;p class=""stat-row-2""&gt;&lt;span class=""stat-label-2""&gt;Stop FWD/CA&lt;/span&gt;&lt;span class=""stat-value-2""&gt;"&amp;$W$9&amp;"&lt;/span&gt;&lt;/p&gt;"</f>
        <v>&lt;p class="stat-row-2"&gt;&lt;span class="stat-label-2"&gt;Stop FWD/CA&lt;/span&gt;&lt;span class="stat-value-2"&gt;&lt;/span&gt;&lt;/p&gt;</v>
      </c>
      <c r="D157" s="3" t="str">
        <f>"&lt;p class=""stat-row-2""&gt;&lt;span class=""stat-label-2""&gt;Stop FWD/CA&lt;/span&gt;&lt;span class=""stat-value-2""&gt;"&amp;$W$24&amp;"&lt;/span&gt;&lt;/p&gt;"</f>
        <v>&lt;p class="stat-row-2"&gt;&lt;span class="stat-label-2"&gt;Stop FWD/CA&lt;/span&gt;&lt;span class="stat-value-2"&gt;&lt;/span&gt;&lt;/p&gt;</v>
      </c>
      <c r="E157" s="3" t="str">
        <f>"&lt;p class=""stat-row-2""&gt;&lt;span class=""stat-label-2""&gt;Stop FWD/CA&lt;/span&gt;&lt;span class=""stat-value-2""&gt;"&amp;$W$12&amp;"&lt;/span&gt;&lt;/p&gt;"</f>
        <v>&lt;p class="stat-row-2"&gt;&lt;span class="stat-label-2"&gt;Stop FWD/CA&lt;/span&gt;&lt;span class="stat-value-2"&gt;&lt;/span&gt;&lt;/p&gt;</v>
      </c>
      <c r="F157" s="3" t="str">
        <f>"&lt;p class=""stat-row-2""&gt;&lt;span class=""stat-label-2""&gt;Stop FWD/CA&lt;/span&gt;&lt;span class=""stat-value-2""&gt;"&amp;$W$22&amp;"&lt;/span&gt;&lt;/p&gt;"</f>
        <v>&lt;p class="stat-row-2"&gt;&lt;span class="stat-label-2"&gt;Stop FWD/CA&lt;/span&gt;&lt;span class="stat-value-2"&gt;&lt;/span&gt;&lt;/p&gt;</v>
      </c>
      <c r="G157" s="3" t="str">
        <f>"&lt;p class=""stat-row-2""&gt;&lt;span class=""stat-label-2""&gt;Stop FWD/CA&lt;/span&gt;&lt;span class=""stat-value-2""&gt;"&amp;$W$3&amp;"&lt;/span&gt;&lt;/p&gt;"</f>
        <v>&lt;p class="stat-row-2"&gt;&lt;span class="stat-label-2"&gt;Stop FWD/CA&lt;/span&gt;&lt;span class="stat-value-2"&gt;&lt;/span&gt;&lt;/p&gt;</v>
      </c>
      <c r="H157" s="3" t="str">
        <f>"&lt;p class=""stat-row-2""&gt;&lt;span class=""stat-label-2""&gt;Stop FWD/CA&lt;/span&gt;&lt;span class=""stat-value-2""&gt;"&amp;$W$7&amp;"&lt;/span&gt;&lt;/p&gt;"</f>
        <v>&lt;p class="stat-row-2"&gt;&lt;span class="stat-label-2"&gt;Stop FWD/CA&lt;/span&gt;&lt;span class="stat-value-2"&gt;&lt;/span&gt;&lt;/p&gt;</v>
      </c>
      <c r="I157" s="3" t="str">
        <f>"&lt;p class=""stat-row-2""&gt;&lt;span class=""stat-label-2""&gt;Stop FWD/CA&lt;/span&gt;&lt;span class=""stat-value-2""&gt;"&amp;$W$8&amp;"&lt;/span&gt;&lt;/p&gt;"</f>
        <v>&lt;p class="stat-row-2"&gt;&lt;span class="stat-label-2"&gt;Stop FWD/CA&lt;/span&gt;&lt;span class="stat-value-2"&gt;&lt;/span&gt;&lt;/p&gt;</v>
      </c>
      <c r="J157" s="3" t="str">
        <f>"&lt;p class=""stat-row-2""&gt;&lt;span class=""stat-label-2""&gt;Stop FWD/CA&lt;/span&gt;&lt;span class=""stat-value-2""&gt;"&amp;$W$23&amp;"&lt;/span&gt;&lt;/p&gt;"</f>
        <v>&lt;p class="stat-row-2"&gt;&lt;span class="stat-label-2"&gt;Stop FWD/CA&lt;/span&gt;&lt;span class="stat-value-2"&gt;&lt;/span&gt;&lt;/p&gt;</v>
      </c>
      <c r="K157" s="3" t="str">
        <f>"&lt;p class=""stat-row-2""&gt;&lt;span class=""stat-label-2""&gt;Stop FWD/CA&lt;/span&gt;&lt;span class=""stat-value-2""&gt;"&amp;$W$20&amp;"&lt;/span&gt;&lt;/p&gt;"</f>
        <v>&lt;p class="stat-row-2"&gt;&lt;span class="stat-label-2"&gt;Stop FWD/CA&lt;/span&gt;&lt;span class="stat-value-2"&gt;&lt;/span&gt;&lt;/p&gt;</v>
      </c>
      <c r="L157" s="3" t="str">
        <f>"&lt;p class=""stat-row-2""&gt;&lt;span class=""stat-label-2""&gt;Stop FWD/CA&lt;/span&gt;&lt;span class=""stat-value-2""&gt;"&amp;$W$14&amp;"&lt;/span&gt;&lt;/p&gt;"</f>
        <v>&lt;p class="stat-row-2"&gt;&lt;span class="stat-label-2"&gt;Stop FWD/CA&lt;/span&gt;&lt;span class="stat-value-2"&gt;&lt;/span&gt;&lt;/p&gt;</v>
      </c>
      <c r="M157" s="3" t="str">
        <f>"&lt;p class=""stat-row-2""&gt;&lt;span class=""stat-label-2""&gt;Stop FWD/CA&lt;/span&gt;&lt;span class=""stat-value-2""&gt;"&amp;$W$21&amp;"&lt;/span&gt;&lt;/p&gt;"</f>
        <v>&lt;p class="stat-row-2"&gt;&lt;span class="stat-label-2"&gt;Stop FWD/CA&lt;/span&gt;&lt;span class="stat-value-2"&gt;&lt;/span&gt;&lt;/p&gt;</v>
      </c>
      <c r="N157" s="3" t="str">
        <f>"&lt;p class=""stat-row-2""&gt;&lt;span class=""stat-label-2""&gt;Stop FWD/CA&lt;/span&gt;&lt;span class=""stat-value-2""&gt;"&amp;$W$11&amp;"&lt;/span&gt;&lt;/p&gt;"</f>
        <v>&lt;p class="stat-row-2"&gt;&lt;span class="stat-label-2"&gt;Stop FWD/CA&lt;/span&gt;&lt;span class="stat-value-2"&gt;&lt;/span&gt;&lt;/p&gt;</v>
      </c>
      <c r="O157" s="3" t="str">
        <f>"&lt;p class=""stat-row-2""&gt;&lt;span class=""stat-label-2""&gt;Stop FWD/CA&lt;/span&gt;&lt;span class=""stat-value-2""&gt;"&amp;$W$13&amp;"&lt;/span&gt;&lt;/p&gt;"</f>
        <v>&lt;p class="stat-row-2"&gt;&lt;span class="stat-label-2"&gt;Stop FWD/CA&lt;/span&gt;&lt;span class="stat-value-2"&gt;&lt;/span&gt;&lt;/p&gt;</v>
      </c>
      <c r="P157" s="3" t="str">
        <f>"&lt;p class=""stat-row-2""&gt;&lt;span class=""stat-label-2""&gt;Stop FWD/CA&lt;/span&gt;&lt;span class=""stat-value-2""&gt;"&amp;$W$5&amp;"&lt;/span&gt;&lt;/p&gt;"</f>
        <v>&lt;p class="stat-row-2"&gt;&lt;span class="stat-label-2"&gt;Stop FWD/CA&lt;/span&gt;&lt;span class="stat-value-2"&gt;&lt;/span&gt;&lt;/p&gt;</v>
      </c>
      <c r="Q157" s="3" t="str">
        <f>"&lt;p class=""stat-row-2""&gt;&lt;span class=""stat-label-2""&gt;Stop FWD/CA&lt;/span&gt;&lt;span class=""stat-value-2""&gt;"&amp;$W$10&amp;"&lt;/span&gt;&lt;/p&gt;"</f>
        <v>&lt;p class="stat-row-2"&gt;&lt;span class="stat-label-2"&gt;Stop FWD/CA&lt;/span&gt;&lt;span class="stat-value-2"&gt;&lt;/span&gt;&lt;/p&gt;</v>
      </c>
      <c r="R157" s="3" t="str">
        <f>"&lt;p class=""stat-row-2""&gt;&lt;span class=""stat-label-2""&gt;Stop FWD/CA&lt;/span&gt;&lt;span class=""stat-value-2""&gt;"&amp;$W$2&amp;"&lt;/span&gt;&lt;/p&gt;"</f>
        <v>&lt;p class="stat-row-2"&gt;&lt;span class="stat-label-2"&gt;Stop FWD/CA&lt;/span&gt;&lt;span class="stat-value-2"&gt;&lt;/span&gt;&lt;/p&gt;</v>
      </c>
      <c r="S157" s="3" t="str">
        <f>"&lt;p class=""stat-row-2""&gt;&lt;span class=""stat-label-2""&gt;Stop FWD/CA&lt;/span&gt;&lt;span class=""stat-value-2""&gt;"&amp;$W$19&amp;"&lt;/span&gt;&lt;/p&gt;"</f>
        <v>&lt;p class="stat-row-2"&gt;&lt;span class="stat-label-2"&gt;Stop FWD/CA&lt;/span&gt;&lt;span class="stat-value-2"&gt;&lt;/span&gt;&lt;/p&gt;</v>
      </c>
      <c r="T157" s="3" t="str">
        <f>"&lt;p class=""stat-row-2""&gt;&lt;span class=""stat-label-2""&gt;Stop FWD/CA&lt;/span&gt;&lt;span class=""stat-value-2""&gt;"&amp;$W$17&amp;"&lt;/span&gt;&lt;/p&gt;"</f>
        <v>&lt;p class="stat-row-2"&gt;&lt;span class="stat-label-2"&gt;Stop FWD/CA&lt;/span&gt;&lt;span class="stat-value-2"&gt;&lt;/span&gt;&lt;/p&gt;</v>
      </c>
      <c r="U157" s="3" t="str">
        <f>"&lt;p class=""stat-row-2""&gt;&lt;span class=""stat-label-2""&gt;Stop FWD/CA&lt;/span&gt;&lt;span class=""stat-value-2""&gt;"&amp;$W$18&amp;"&lt;/span&gt;&lt;/p&gt;"</f>
        <v>&lt;p class="stat-row-2"&gt;&lt;span class="stat-label-2"&gt;Stop FWD/CA&lt;/span&gt;&lt;span class="stat-value-2"&gt;&lt;/span&gt;&lt;/p&gt;</v>
      </c>
      <c r="V157" s="3" t="str">
        <f>"&lt;p class=""stat-row-2""&gt;&lt;span class=""stat-label-2""&gt;Stop FWD/CA&lt;/span&gt;&lt;span class=""stat-value-2""&gt;"&amp;$W$16&amp;"&lt;/span&gt;&lt;/p&gt;"</f>
        <v>&lt;p class="stat-row-2"&gt;&lt;span class="stat-label-2"&gt;Stop FWD/CA&lt;/span&gt;&lt;span class="stat-value-2"&gt;&lt;/span&gt;&lt;/p&gt;</v>
      </c>
      <c r="W157" s="3" t="str">
        <f>"&lt;p class=""stat-row-2""&gt;&lt;span class=""stat-label-2""&gt;Stop FWD/CA&lt;/span&gt;&lt;span class=""stat-value-2""&gt;"&amp;$W$6&amp;"&lt;/span&gt;&lt;/p&gt;"</f>
        <v>&lt;p class="stat-row-2"&gt;&lt;span class="stat-label-2"&gt;Stop FWD/CA&lt;/span&gt;&lt;span class="stat-value-2"&gt;&lt;/span&gt;&lt;/p&gt;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Totals</vt:lpstr>
      <vt:lpstr>Louisville</vt:lpstr>
      <vt:lpstr>SD</vt:lpstr>
      <vt:lpstr>ND</vt:lpstr>
      <vt:lpstr>Alabama</vt:lpstr>
      <vt:lpstr>UNO</vt:lpstr>
      <vt:lpstr>KSU</vt:lpstr>
      <vt:lpstr>Indiana</vt:lpstr>
      <vt:lpstr>Iowa</vt:lpstr>
      <vt:lpstr>Washington</vt:lpstr>
      <vt:lpstr>MSU</vt:lpstr>
      <vt:lpstr>Michigan</vt:lpstr>
      <vt:lpstr>Wisconsin</vt:lpstr>
      <vt:lpstr>Maryland</vt:lpstr>
      <vt:lpstr>Rutgers</vt:lpstr>
      <vt:lpstr>Illinois</vt:lpstr>
      <vt:lpstr>USC</vt:lpstr>
      <vt:lpstr>UCLA</vt:lpstr>
      <vt:lpstr>Purdue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Kalkowski</dc:creator>
  <cp:lastModifiedBy>Max Kalkowski</cp:lastModifiedBy>
  <dcterms:created xsi:type="dcterms:W3CDTF">2026-09-29T05:12:43Z</dcterms:created>
  <dcterms:modified xsi:type="dcterms:W3CDTF">2026-10-06T21:09:24Z</dcterms:modified>
</cp:coreProperties>
</file>